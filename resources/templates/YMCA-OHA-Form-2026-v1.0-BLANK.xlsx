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4"/>
    <sheet state="visible" name="1 General Information" sheetId="2" r:id="rId5"/>
    <sheet state="visible" name="2 Financial Stability" sheetId="3" r:id="rId6"/>
    <sheet state="visible" name="3 Governance" sheetId="4" r:id="rId7"/>
    <sheet state="visible" name="4 Constitution, Bylaws, Polici" sheetId="5" r:id="rId8"/>
    <sheet state="visible" name="5 Monitoring &amp; Evaluation" sheetId="6" r:id="rId9"/>
    <sheet state="visible" name="6 Strategic Planning &amp; Mission" sheetId="7" r:id="rId10"/>
    <sheet state="visible" name="7 Diversity &amp; Youth Participati" sheetId="8" r:id="rId11"/>
    <sheet state="visible" name="8 Communications &amp; Branding" sheetId="9" r:id="rId12"/>
    <sheet state="visible" name="9 Property Management" sheetId="10" r:id="rId13"/>
    <sheet state="visible" name="10 Staff+Volunteer Development" sheetId="11" r:id="rId14"/>
    <sheet state="visible" name="Scores" sheetId="12" r:id="rId15"/>
  </sheets>
  <definedNames/>
  <calcPr fullCalcOnLoad="1"/>
  <extLst>
    <ext uri="GoogleSheetsCustomDataVersion2">
      <go:sheetsCustomData xmlns:go="http://customooxmlschemas.google.com/" r:id="rId16" roundtripDataChecksum="oSQzxoRIRagPGrBtfcMood7kVU7Dpd3usT2z+/k1zP4="/>
    </ext>
  </extLst>
</workbook>
</file>

<file path=xl/sharedStrings.xml><?xml version="1.0" encoding="utf-8"?>
<sst xmlns="http://schemas.openxmlformats.org/spreadsheetml/2006/main" count="504" uniqueCount="504">
  <si>
    <t xml:space="preserve">YMCA Annual Organisational Health Assessment Tool</t>
  </si>
  <si>
    <t xml:space="preserve">Guidance</t>
  </si>
  <si>
    <t xml:space="preserve">Purpose</t>
  </si>
  <si>
    <t xml:space="preserve">The YMCA Organisational Health Assessment Tool is designed to support your YMCA in assessing how your organisation performs across various categories, from an organisational sustainability perspective. You can use this form in your YMCA, regardless of size or experience. If you share the information filled in this tool with your Area Alliance and World YMCA, this will also provide very valuable information that will support the mission of your Area Alliance and World YMCA when it comes to Movement Strengthening efforts. The information collected will help identify strengths and areas for improvement and develop organisational development plans so you can identify ways to better serve your community, for the longer-term. 
This Health Assessment is a joint tool that will be used by all Area Alliances and World YMCA. This way, it will simplify the process for the entire Movement by replacing numerous types of health assessments into just one. This tool will be continuously improved based on feedback.
Please note:
The purpose of the assessment tool is to provide guidance and orientation to YMCA leadership.
It will not be used in any way for formal grading, ranking, or sanctions by the World Alliance of YMCAs or the Area Alliance.
All information entered in this document is confidential and will be used exclusively for internal improvement and advisory purposes. </t>
  </si>
  <si>
    <t xml:space="preserve">Category Definitions</t>
  </si>
  <si>
    <t xml:space="preserve">The following is a description of what is evaluated in each category:</t>
  </si>
  <si>
    <t xml:space="preserve">Category</t>
  </si>
  <si>
    <t xml:space="preserve">Definition</t>
  </si>
  <si>
    <t xml:space="preserve">Financial Stability</t>
  </si>
  <si>
    <t xml:space="preserve">Reviews financial health, transparency, sustainability, and adherence to financial controls.</t>
  </si>
  <si>
    <t xml:space="preserve">Governance</t>
  </si>
  <si>
    <t xml:space="preserve">Evaluates leadership structure, decision-making transparency, and organisational accountability.</t>
  </si>
  <si>
    <t xml:space="preserve">Constitution / By-Laws / Policies / Procedures</t>
  </si>
  <si>
    <t xml:space="preserve">Evaluates whether the YMCA has a legally up-to-date and functional governance framework, and whether it is supported by clear, comprehensive policies and procedures. It also assesses the presence of key organizational policies that promote ethical governance, safety, inclusivity, transparency, accountability, and operational efficiency.</t>
  </si>
  <si>
    <t xml:space="preserve">Monitoring</t>
  </si>
  <si>
    <t xml:space="preserve">Evaluates how systematically the YMCA assesses the effectiveness and relevance of its programs and services. It also examines how well the YMCA captures and shares knowledge internally, ensuring continuous learning, accountability, and evidence-based improvement across the organization.</t>
  </si>
  <si>
    <t xml:space="preserve">Strategic Planning</t>
  </si>
  <si>
    <t xml:space="preserve">Assesses the existence, quality, and execution of long-term strategic and operational plans. It examines whether the organization has a current and participatory strategic plan, how often it is reviewed, and whether it includes innovation and alignment with the global Vision 2030 framework. It also assesses the clarity and consistency of the YMCA’s mission, vision, and values.</t>
  </si>
  <si>
    <t xml:space="preserve">Diversity and youth participation</t>
  </si>
  <si>
    <t xml:space="preserve">Checks how the YMCA promotes inclusive governance and engagement, particularly for young people and underrepresented groups. It examines whether the organization has formal provisions or policies ensuring diverse representation on its board.</t>
  </si>
  <si>
    <t xml:space="preserve">Communication and Branding</t>
  </si>
  <si>
    <t xml:space="preserve">Looks at the elements related to external communication and branding from the YMCA, including transparency and community accountability.</t>
  </si>
  <si>
    <t xml:space="preserve">Property Management</t>
  </si>
  <si>
    <t xml:space="preserve">Evaluates how the YMCA handles ownership, documentation, and strategic use of its physical assets. It looks at whether the organization owns property, ensures proper legal registration, manages risks related to property loss or disputes, and has a clear development or maintenance plan..</t>
  </si>
  <si>
    <t xml:space="preserve">Staff and volunteer development</t>
  </si>
  <si>
    <t xml:space="preserve">Assesses staff recruitment, development, retention policies, and workplace wellbeing practices.</t>
  </si>
  <si>
    <t xml:space="preserve">How to use the Tool</t>
  </si>
  <si>
    <t xml:space="preserve">General Instructions</t>
  </si>
  <si>
    <t xml:space="preserve">- Only modify the response cells (the designated answer boxes).
- Do not alter the Excel file's structure, formulas, or any other elements.
- If a question is not applicable, indicate "N/A" (Not Applicable) rather than leaving it blank.
- If you are unsure how to answer a specific question, please seek clarification from your Area Alliance representative.
- Consistency is essential: apply the same judgment standards across all areas.
- Ensure no unintended changes have been made to non-response cells.
- Submit the completed document to the Area Alliance.</t>
  </si>
  <si>
    <t xml:space="preserve">Score Criteria</t>
  </si>
  <si>
    <t xml:space="preserve">- The Score Criteria is calculated automatically based on your answers.
- You do not need to manually assign or edit scores.
- The scores are only indicative and should be treated only by taking in consideration the entire context of the organisation. For example, a low score on financial stability might not necessarily mean your YMCA has a very negative financial situation and when considering the score all other information needs to be analyzed as well.</t>
  </si>
  <si>
    <t xml:space="preserve">Who should fill this form?</t>
  </si>
  <si>
    <t xml:space="preserve">Gather a team of staff and volunteers across departments or functions of your organisation. The recommendation is to include your CEO/General Secretary, at least one board member (chair preferred), and other staff and volunteers representing the organization's key functions. However, only one final version that you all agree with should be shared with the Area Alliance.
</t>
  </si>
  <si>
    <t xml:space="preserve">How to collect and collate responses?</t>
  </si>
  <si>
    <t xml:space="preserve">There are different options you might use (your choice):
1. Individuals complete the form. Share collated individual responses. Discuss and arrive at agreements during a meeting.
2. Complete the form as a group during a meeting of all stakeholders.</t>
  </si>
  <si>
    <t xml:space="preserve">How to finalize the Health Assessment?</t>
  </si>
  <si>
    <t xml:space="preserve">When your CEO/General Secretary and your President/Chair have agreed it, please submit it to your Area Alliance contact person.</t>
  </si>
  <si>
    <t xml:space="preserve">Data Protection</t>
  </si>
  <si>
    <t xml:space="preserve">By submitting this form, you acknowledge and agree to the following:
1. Access and Confidentiality:
Your responses will be accessible to the Area Alliance and the World Alliance. All data provided will be handled with strict confidentiality by the Area Alliance, the World Alliance, and their authorized partners, in accordance with applicable data protection standards.
2.Data Sharing with Partners and Funders:
Please tick the box below if you authorize the Area Alliance and the World Alliance to share your submitted data with trusted partners and potential funders for the purpose of strengthening humanitarian action, mobilizing support, and facilitating collaboration. Any shared data will be used responsibly and in alignment with privacy commitments.</t>
  </si>
  <si>
    <t xml:space="preserve">We authorize the Area Alliance and World Alliance to share the data of this health assessment partially or fully with trusted YMCA partners and/or potential funders for the purpose of strengthening humanitarian action, mobilising support, and facilitating collaboration. </t>
  </si>
  <si>
    <t xml:space="preserve">If you have questions or concerns about how your data is managed, please contact your Area Alliance contact person. If you have a concern that cannot be solved at that level, please contact the World YMCA Movement Strengthening/Strategy lead. </t>
  </si>
  <si>
    <t xml:space="preserve">YMCA Annual Organisational Health Assessment Form</t>
  </si>
  <si>
    <t xml:space="preserve">Version 1.0 - 2026</t>
  </si>
  <si>
    <t xml:space="preserve">GENERAL INFORMATION</t>
  </si>
  <si>
    <t xml:space="preserve">Please choose an option or fill the answer</t>
  </si>
  <si>
    <t xml:space="preserve">Additional Information</t>
  </si>
  <si>
    <t xml:space="preserve">Notes</t>
  </si>
  <si>
    <t xml:space="preserve">#</t>
  </si>
  <si>
    <t xml:space="preserve">Q101</t>
  </si>
  <si>
    <t xml:space="preserve">Official/Legal Name of the YMCA</t>
  </si>
  <si>
    <t xml:space="preserve">This is the name in your Articles of Incorporation, Constitution or any other legal document recognized by the government of your country.</t>
  </si>
  <si>
    <t xml:space="preserve">Q102</t>
  </si>
  <si>
    <t xml:space="preserve">Country</t>
  </si>
  <si>
    <t xml:space="preserve">Q103</t>
  </si>
  <si>
    <t xml:space="preserve">Country code</t>
  </si>
  <si>
    <t xml:space="preserve">This will have been communicated to you. Leave the field blank if you do not know.</t>
  </si>
  <si>
    <t xml:space="preserve">Q104</t>
  </si>
  <si>
    <t xml:space="preserve">Official/Legal address of the organisation</t>
  </si>
  <si>
    <t xml:space="preserve">Q105</t>
  </si>
  <si>
    <t xml:space="preserve">Year or Period of Reporting</t>
  </si>
  <si>
    <t xml:space="preserve">Describe the reporting period (or, if more relevant, the month when you are filling this form), including Month/Date. For example, "Fiscal Year, October 2025 to September 2026".</t>
  </si>
  <si>
    <t xml:space="preserve">Q106</t>
  </si>
  <si>
    <t xml:space="preserve">Is your organisation officially registered as a nonprofit/non-governmental organisation (NGO)?</t>
  </si>
  <si>
    <t xml:space="preserve">Please choose an option</t>
  </si>
  <si>
    <t xml:space="preserve">Q107</t>
  </si>
  <si>
    <t xml:space="preserve">What is the official category of your organisation's registration according to your national regulations? (ex. Federation, Association, Foundation etc.)</t>
  </si>
  <si>
    <t xml:space="preserve">Which of the following are applicable for your YMCA:</t>
  </si>
  <si>
    <t xml:space="preserve">Q108</t>
  </si>
  <si>
    <t xml:space="preserve">- Tax-exempt status</t>
  </si>
  <si>
    <t xml:space="preserve">Any tax-exempt status counts. For example, property tax exemption, employer tax exemption, etc.</t>
  </si>
  <si>
    <t xml:space="preserve">Q109</t>
  </si>
  <si>
    <t xml:space="preserve">- Special recognised status by the government (if applicable in your country, otherwise choose "Not applicable")</t>
  </si>
  <si>
    <t xml:space="preserve">Q110</t>
  </si>
  <si>
    <t xml:space="preserve">- Other special designation or certification received by the organisation</t>
  </si>
  <si>
    <t xml:space="preserve">Q111</t>
  </si>
  <si>
    <t xml:space="preserve">- Please give any further details here, if relevant (optional): </t>
  </si>
  <si>
    <t xml:space="preserve">Q112</t>
  </si>
  <si>
    <t xml:space="preserve">Is your organisation officially registered as a federative structure or a single entity ?</t>
  </si>
  <si>
    <t xml:space="preserve">Q113</t>
  </si>
  <si>
    <t xml:space="preserve">If a federated structure, how many member organisations do you have ?</t>
  </si>
  <si>
    <t xml:space="preserve">Q114</t>
  </si>
  <si>
    <t xml:space="preserve">Number of member organisations registered as legal entities</t>
  </si>
  <si>
    <t xml:space="preserve">Q115</t>
  </si>
  <si>
    <t xml:space="preserve">Number of informal groups or similar (not registered as legal entities)</t>
  </si>
  <si>
    <t xml:space="preserve">Q116</t>
  </si>
  <si>
    <t xml:space="preserve">If there is any kind of a special situation, you can mention it here:</t>
  </si>
  <si>
    <t xml:space="preserve">Please write your answer here</t>
  </si>
  <si>
    <t xml:space="preserve">Q117</t>
  </si>
  <si>
    <t xml:space="preserve">Are any of your registered members currently inactive/dormant? If so, how many?</t>
  </si>
  <si>
    <t xml:space="preserve">Q118</t>
  </si>
  <si>
    <t xml:space="preserve">If a single entity, how many branches / sites do you have ?</t>
  </si>
  <si>
    <t xml:space="preserve">Your YMCA Score</t>
  </si>
  <si>
    <t xml:space="preserve">Maximum Possible Score</t>
  </si>
  <si>
    <t xml:space="preserve">Your percentage</t>
  </si>
  <si>
    <t xml:space="preserve">Constitution / By-laws / Policies / Procedures </t>
  </si>
  <si>
    <t xml:space="preserve">Monitoring &amp; Evaluation </t>
  </si>
  <si>
    <t xml:space="preserve">Diversity and Youth Participation</t>
  </si>
  <si>
    <t xml:space="preserve">Communications &amp; Branding</t>
  </si>
  <si>
    <t xml:space="preserve">N/A</t>
  </si>
  <si>
    <t xml:space="preserve">Staff and Volunteer Development</t>
  </si>
  <si>
    <t xml:space="preserve">TOTAL SCORE</t>
  </si>
  <si>
    <t xml:space="preserve">SUBMISSION</t>
  </si>
  <si>
    <t xml:space="preserve">Who participated in completing this questionnaire ?</t>
  </si>
  <si>
    <t xml:space="preserve">Chair/ President of the Board</t>
  </si>
  <si>
    <t xml:space="preserve">NGS </t>
  </si>
  <si>
    <t xml:space="preserve">Key Staff</t>
  </si>
  <si>
    <t xml:space="preserve">National Board </t>
  </si>
  <si>
    <t xml:space="preserve">FINANCIAL STABILITY</t>
  </si>
  <si>
    <t xml:space="preserve">Scoring</t>
  </si>
  <si>
    <t xml:space="preserve">Q201</t>
  </si>
  <si>
    <t xml:space="preserve">Do you you have an Annual Financial Plan or Budget?</t>
  </si>
  <si>
    <t xml:space="preserve">Q202</t>
  </si>
  <si>
    <t xml:space="preserve">Do you report on actual results against Plan or Budget? (eg. producing financial reports)</t>
  </si>
  <si>
    <t xml:space="preserve">What type of audit is your YMCA doing annually?</t>
  </si>
  <si>
    <t xml:space="preserve">Please enter year of last report in Additional Information:</t>
  </si>
  <si>
    <t xml:space="preserve">Q203</t>
  </si>
  <si>
    <t xml:space="preserve">- Minimum internal controls mandated by the national legislation and/or your YMCA's policies</t>
  </si>
  <si>
    <t xml:space="preserve">Q204</t>
  </si>
  <si>
    <t xml:space="preserve">- Project-based audits performed by the funders (eg. state audits, external audits etc.) for grants received</t>
  </si>
  <si>
    <t xml:space="preserve">Q205</t>
  </si>
  <si>
    <t xml:space="preserve">- A comprehensive annual audit performed by an independent audit company or professional</t>
  </si>
  <si>
    <t xml:space="preserve">Q206</t>
  </si>
  <si>
    <t xml:space="preserve">If your organisation uses the services of an audit company or professional, for how many years have you been using their services? Please mention in additional information alongside if there is any policy to rotate the auditors. </t>
  </si>
  <si>
    <t xml:space="preserve">Generally, it is considered a good practice to change the auditors in order to ensure objectivity and a more neutral attitude. For example, some YMCAs are changing auditors every 3 or 4 years.</t>
  </si>
  <si>
    <t xml:space="preserve">Q207</t>
  </si>
  <si>
    <t xml:space="preserve">Is the Annual Financial Report public? (e.g. published on your website as part of your annual report or separately)</t>
  </si>
  <si>
    <t xml:space="preserve">Q208</t>
  </si>
  <si>
    <t xml:space="preserve">What currency does your YMCA use? (e.g., Euro, Peso etc)</t>
  </si>
  <si>
    <t xml:space="preserve">Q209</t>
  </si>
  <si>
    <t xml:space="preserve">What is the total value of your current assets? (Numeric value only e.g., 10 005)</t>
  </si>
  <si>
    <t xml:space="preserve">If you are a National YMCA, please refer to the value of your national federation/entity only.</t>
  </si>
  <si>
    <t xml:space="preserve">Q210</t>
  </si>
  <si>
    <t xml:space="preserve">What is the total value of your current liabilities?  (Numeric value only)</t>
  </si>
  <si>
    <t xml:space="preserve">Q211</t>
  </si>
  <si>
    <t xml:space="preserve">What is the total value of your income in the past financial year? (Numeric value only)</t>
  </si>
  <si>
    <t xml:space="preserve">Q212</t>
  </si>
  <si>
    <t xml:space="preserve">What is the total value of your expenditure in the past financial year?  (Numeric value only)</t>
  </si>
  <si>
    <t xml:space="preserve">Q213</t>
  </si>
  <si>
    <t xml:space="preserve">What is the operating balance (deficit, surplus) in the year under review? (Numeric value only)</t>
  </si>
  <si>
    <t xml:space="preserve">For the items listed below, what is the estimated percentage of the total amount of generated income in the past financial year?  Enter as a numeric value (For example, for 25% enter 25).</t>
  </si>
  <si>
    <t xml:space="preserve">%</t>
  </si>
  <si>
    <t xml:space="preserve">Q214</t>
  </si>
  <si>
    <t xml:space="preserve">- Paid Services offered by your YMCA to various clients (business activities, including social entrepreneurship)</t>
  </si>
  <si>
    <t xml:space="preserve">Q215</t>
  </si>
  <si>
    <t xml:space="preserve">- Government subsidies (excluding project grants)</t>
  </si>
  <si>
    <t xml:space="preserve">Q216</t>
  </si>
  <si>
    <t xml:space="preserve">- Membership fees / Fair Share</t>
  </si>
  <si>
    <t xml:space="preserve">Q217</t>
  </si>
  <si>
    <t xml:space="preserve">- Individual donations</t>
  </si>
  <si>
    <t xml:space="preserve">Q218</t>
  </si>
  <si>
    <t xml:space="preserve">- Sponsorship from private companies</t>
  </si>
  <si>
    <t xml:space="preserve">Q219</t>
  </si>
  <si>
    <t xml:space="preserve">- Public grants (from local, national government, European Union, United Nations etc.)</t>
  </si>
  <si>
    <t xml:space="preserve">Q220</t>
  </si>
  <si>
    <t xml:space="preserve">- Private grants (from companies, private entities, foundations etc.) excluding YMCA funding</t>
  </si>
  <si>
    <t xml:space="preserve">Q221</t>
  </si>
  <si>
    <t xml:space="preserve">- YMCA Grants or similar support from other YMCAs outside your country</t>
  </si>
  <si>
    <t xml:space="preserve">Q222</t>
  </si>
  <si>
    <t xml:space="preserve">- Other</t>
  </si>
  <si>
    <t xml:space="preserve">Out of your annual income, what is the percentage of national/local versus international funding?   Enter as a numeric value (For example, for 25% enter 25).</t>
  </si>
  <si>
    <t xml:space="preserve">Q223</t>
  </si>
  <si>
    <t xml:space="preserve">- Local / National sources</t>
  </si>
  <si>
    <t xml:space="preserve">Q224</t>
  </si>
  <si>
    <t xml:space="preserve">- International sources</t>
  </si>
  <si>
    <t xml:space="preserve">Out of your annual income, what is the percentage of restricted versus unrestricted funding?   Enter as a numeric value (For example, for 25% enter 25).</t>
  </si>
  <si>
    <t xml:space="preserve">Q225</t>
  </si>
  <si>
    <t xml:space="preserve">- Restricted funding (e.g. where the funding has to be spent on specific activities, outcomes etc.)</t>
  </si>
  <si>
    <t xml:space="preserve">Q226</t>
  </si>
  <si>
    <t xml:space="preserve">- Unrestricted funding (eg. where you decide where to allocate that amount of money)</t>
  </si>
  <si>
    <t xml:space="preserve">Q227</t>
  </si>
  <si>
    <t xml:space="preserve">If one of your major funders/partners would stop their funding in the next 6 months, would that affect your YMCA dramatically?</t>
  </si>
  <si>
    <t xml:space="preserve">Q228</t>
  </si>
  <si>
    <t xml:space="preserve">Do you have any backup / risk mitigation plan to limit the negative impact of such a limitation?</t>
  </si>
  <si>
    <t xml:space="preserve">For the items listed below, what is the percentage of your total expenditure?  Enter as a numeric value (For example, for 25% enter 25).</t>
  </si>
  <si>
    <t xml:space="preserve">Q229</t>
  </si>
  <si>
    <t xml:space="preserve">- Programmes delivery</t>
  </si>
  <si>
    <t xml:space="preserve">Q230</t>
  </si>
  <si>
    <t xml:space="preserve">- Internal Meetings</t>
  </si>
  <si>
    <t xml:space="preserve">Q231</t>
  </si>
  <si>
    <t xml:space="preserve">- Salaries of Staff (including taxes, social contributions)</t>
  </si>
  <si>
    <t xml:space="preserve">Q232</t>
  </si>
  <si>
    <t xml:space="preserve">- Property maintenance</t>
  </si>
  <si>
    <t xml:space="preserve">Q233</t>
  </si>
  <si>
    <t xml:space="preserve">- Business services</t>
  </si>
  <si>
    <t xml:space="preserve">Q234</t>
  </si>
  <si>
    <t xml:space="preserve">- Membership fees to other Associations/Federations</t>
  </si>
  <si>
    <t xml:space="preserve">Q235</t>
  </si>
  <si>
    <t xml:space="preserve">- Taxes (except salaries taxes and contributions)</t>
  </si>
  <si>
    <t xml:space="preserve">Q236</t>
  </si>
  <si>
    <t xml:space="preserve">- Administration expenses, including IT expenses</t>
  </si>
  <si>
    <t xml:space="preserve">Q237</t>
  </si>
  <si>
    <t xml:space="preserve">-Others</t>
  </si>
  <si>
    <t xml:space="preserve">Q238</t>
  </si>
  <si>
    <t xml:space="preserve">Is your YMCA able to cover expenses (including salaries and properties, if applicable) in the next 2 years?</t>
  </si>
  <si>
    <t xml:space="preserve">Q239</t>
  </si>
  <si>
    <t xml:space="preserve">Does your YMCA have a cash reserve (or liquid assets) that it can use in case of any financial challenges, including cashflow challenges?</t>
  </si>
  <si>
    <t xml:space="preserve">Q240</t>
  </si>
  <si>
    <t xml:space="preserve">If yes, what is the approximate value of this reserve?  (Numeric value only)</t>
  </si>
  <si>
    <t xml:space="preserve">Q241</t>
  </si>
  <si>
    <t xml:space="preserve">If yes, for how many months can this reserve be used? (Write number of months only, e.g., 8)</t>
  </si>
  <si>
    <t xml:space="preserve">Q242</t>
  </si>
  <si>
    <t xml:space="preserve">Does your YMCA have any outstanding debt (beyond current/annual liabilities)?</t>
  </si>
  <si>
    <t xml:space="preserve">Q243</t>
  </si>
  <si>
    <t xml:space="preserve">If yes, what is the total value of the debt? (Numeric value only)</t>
  </si>
  <si>
    <t xml:space="preserve">Q244</t>
  </si>
  <si>
    <t xml:space="preserve">Is there a considerable risk for an interest rate increase that would become unaffordable for your YMCA?</t>
  </si>
  <si>
    <t xml:space="preserve">Q245</t>
  </si>
  <si>
    <t xml:space="preserve">Is there a considerable risk that this debt might not be repaid on time?</t>
  </si>
  <si>
    <t xml:space="preserve">Q246</t>
  </si>
  <si>
    <t xml:space="preserve">How much is your YMCA spending annually for fundraising activities? (cost of fundraising)  (Numeric value only)</t>
  </si>
  <si>
    <t xml:space="preserve">Please give a rough estimation. This refers to how much you are spending on your fundraising activities. It can include your fundraiser, staff time allocated on this, software costs, social media ads, prints etc.</t>
  </si>
  <si>
    <t xml:space="preserve">Q247</t>
  </si>
  <si>
    <t xml:space="preserve">Is your YMCA offering financial support to other YMCAs from other countries on a regular basis (eg. mobilising grants to other YMCAs, including from government sources)? If yes, what is the average annual amount?</t>
  </si>
  <si>
    <t xml:space="preserve">This only applies if your YMCA is offering grants or any other type of financial support to other YMCAs in OTHER countries.</t>
  </si>
  <si>
    <t xml:space="preserve">Q248</t>
  </si>
  <si>
    <t xml:space="preserve">If yes, what is the average annual amount?  (Numeric value only)</t>
  </si>
  <si>
    <t xml:space="preserve">Total Score </t>
  </si>
  <si>
    <t xml:space="preserve">Maximum Score Possible</t>
  </si>
  <si>
    <t xml:space="preserve">20 points</t>
  </si>
  <si>
    <t xml:space="preserve">Comments / Observations</t>
  </si>
  <si>
    <t xml:space="preserve">Based on this assessment, which areas of improvement/changes would you like your YMCA to work towards in the next year for this category?</t>
  </si>
  <si>
    <t xml:space="preserve">GOVERNANCE</t>
  </si>
  <si>
    <t xml:space="preserve">Q310</t>
  </si>
  <si>
    <t xml:space="preserve">Which is the ultimate decision-making body of your YMCA? </t>
  </si>
  <si>
    <t xml:space="preserve">Based on your Constitution / Statutes or by law, each nonprofit organisation has a decision-making body that is considered the most important. For Associations of Federations, this is usually the General Assembly.</t>
  </si>
  <si>
    <t xml:space="preserve">Q311</t>
  </si>
  <si>
    <t xml:space="preserve">If you chose "Other", please explain here</t>
  </si>
  <si>
    <t xml:space="preserve">Q312</t>
  </si>
  <si>
    <t xml:space="preserve">Who elects the Board in your YMCA? </t>
  </si>
  <si>
    <t xml:space="preserve">Depending on how your YMCA is structured legally, this can be your General Assembly, the Board itself or other mechanisms.</t>
  </si>
  <si>
    <t xml:space="preserve">What is the minimum and the maximum number of Board Members that your YMCA can have in accordance to the constitution/statute?</t>
  </si>
  <si>
    <t xml:space="preserve">Q313</t>
  </si>
  <si>
    <t xml:space="preserve">- Minimum number of board members</t>
  </si>
  <si>
    <t xml:space="preserve">Q314</t>
  </si>
  <si>
    <t xml:space="preserve">- Maximum number of board members</t>
  </si>
  <si>
    <t xml:space="preserve">Total Number of current Board Members</t>
  </si>
  <si>
    <t xml:space="preserve">Q315</t>
  </si>
  <si>
    <t xml:space="preserve">- Females - Number</t>
  </si>
  <si>
    <t xml:space="preserve">Q316</t>
  </si>
  <si>
    <t xml:space="preserve">- Males - Number</t>
  </si>
  <si>
    <t xml:space="preserve">Q317</t>
  </si>
  <si>
    <t xml:space="preserve">- Non-binary - Number</t>
  </si>
  <si>
    <t xml:space="preserve">Q318</t>
  </si>
  <si>
    <t xml:space="preserve">- Under 30 - Number</t>
  </si>
  <si>
    <t xml:space="preserve">Q319</t>
  </si>
  <si>
    <t xml:space="preserve">- Serving in the board for the first time - Number</t>
  </si>
  <si>
    <t xml:space="preserve">Q320</t>
  </si>
  <si>
    <t xml:space="preserve">Is your YMCA recruiting/electing your board based on the skills that are required to implement your strategy?</t>
  </si>
  <si>
    <t xml:space="preserve">Several YMCAs might be analyzing what kind of people they need in their Board based on the skills that are needed. For example, if the priority of the YMCA is to raise more funds, maybe a person with fundraising experience or connections might be valuable for the Board. Many YMCAs might be performing a needs assessment to analyze the required skills and then recruit accordingly.</t>
  </si>
  <si>
    <t xml:space="preserve">Q321</t>
  </si>
  <si>
    <t xml:space="preserve">If yes, please indicate what approach you are using</t>
  </si>
  <si>
    <t xml:space="preserve">Q322</t>
  </si>
  <si>
    <t xml:space="preserve">What is the standard duration of the term of your Board Members and President/Chair? (in years)</t>
  </si>
  <si>
    <t xml:space="preserve">Based on your Constitution / Statutes</t>
  </si>
  <si>
    <t xml:space="preserve">Is there a limit to how many terms a Board Member and your President/Chair can serve? If so, which is the limit?</t>
  </si>
  <si>
    <t xml:space="preserve">Q323</t>
  </si>
  <si>
    <t xml:space="preserve">- Board Members</t>
  </si>
  <si>
    <t xml:space="preserve">Q324</t>
  </si>
  <si>
    <t xml:space="preserve">Term limit in years</t>
  </si>
  <si>
    <t xml:space="preserve">Q325</t>
  </si>
  <si>
    <t xml:space="preserve">- President / Chair</t>
  </si>
  <si>
    <t xml:space="preserve">Q326</t>
  </si>
  <si>
    <t xml:space="preserve">Does the Board carry out an annual evaluation of its performance?</t>
  </si>
  <si>
    <t xml:space="preserve">How many times did the Board meet in the previous year?</t>
  </si>
  <si>
    <t xml:space="preserve">Q327</t>
  </si>
  <si>
    <t xml:space="preserve">Does the Board evaluate the performance of the CEO / General Secretary annually?</t>
  </si>
  <si>
    <t xml:space="preserve">Q328</t>
  </si>
  <si>
    <t xml:space="preserve">Are the CEO/General Secretary and the President/Chair two different people?</t>
  </si>
  <si>
    <t xml:space="preserve">Q329</t>
  </si>
  <si>
    <t xml:space="preserve">Is there a CEO/General Secretary succession plan? (temporary + long-term succession)</t>
  </si>
  <si>
    <t xml:space="preserve">A succession plan refers to the way your YMCA responds when your leadership (CEO, Secretary General etc.) is temporarily or permanently unable to do their job, for any reason (eg. accident, death, illness, retirement etc.). By having a succession plan the organisation already decided what to do in case this happens. Also, the succession plan can refer to how the next leaders are being prepared so that the next generation can be ready to take the leadership when the time comes.</t>
  </si>
  <si>
    <t xml:space="preserve">Q330</t>
  </si>
  <si>
    <t xml:space="preserve">Temporary Succession Plan (eg. emergency situations, unforeseen situations)</t>
  </si>
  <si>
    <t xml:space="preserve">Q331</t>
  </si>
  <si>
    <t xml:space="preserve">Long-term Succession Plan </t>
  </si>
  <si>
    <t xml:space="preserve">Does your YMCA have insurance policies for all your key properties/assets and management risks (eg. board liability)?</t>
  </si>
  <si>
    <t xml:space="preserve">Q332</t>
  </si>
  <si>
    <t xml:space="preserve">- Key properties / assets</t>
  </si>
  <si>
    <t xml:space="preserve">Q333</t>
  </si>
  <si>
    <t xml:space="preserve">- Management risks / liability</t>
  </si>
  <si>
    <t xml:space="preserve">12 points</t>
  </si>
  <si>
    <t xml:space="preserve">OPTIONAL</t>
  </si>
  <si>
    <t xml:space="preserve">CONSTITUTION / BYLAWS / POLICIES / PROCEDURES</t>
  </si>
  <si>
    <t xml:space="preserve">Q410</t>
  </si>
  <si>
    <t xml:space="preserve">Is your constitution/statute up to date with the latest requirements in your country?</t>
  </si>
  <si>
    <t xml:space="preserve">Q411</t>
  </si>
  <si>
    <t xml:space="preserve">Is there a plan to make a meaningful change to your constitution/statute in the next year?</t>
  </si>
  <si>
    <t xml:space="preserve">Are you planning to change your key documents in a very important way? For example, making changes to how decisions are made, how the Board is elected, changing your mission etc.</t>
  </si>
  <si>
    <t xml:space="preserve">Do the following policies exist and are they applied:</t>
  </si>
  <si>
    <t xml:space="preserve">Q412</t>
  </si>
  <si>
    <t xml:space="preserve">- Conflict of Interest Policy</t>
  </si>
  <si>
    <t xml:space="preserve">Q413</t>
  </si>
  <si>
    <t xml:space="preserve">- Safeguarding Policy (including but not limited to Child Protection or similar)</t>
  </si>
  <si>
    <t xml:space="preserve">Safeguarding refers to the rules you have in place in your YMCA to protect children, young people and adults from sexual abuse or any other type of harrassment and mental or physical abuse. For example, a YMCA that organises summer camps should normally have rules in place to ensure the safety of everyone attending, especially those who are vulnerable to abuse.</t>
  </si>
  <si>
    <t xml:space="preserve">Q414</t>
  </si>
  <si>
    <t xml:space="preserve">- Whistleblowing Policy (Grievance Procedure etc.) or mechanism</t>
  </si>
  <si>
    <t xml:space="preserve">A "whistleblowing" policy refers to the situations where someone might file a complaint against the leadership of your YMCA and where there is a clear need for them to be protected against persecution. For example, a staff member filing a complaint against the Secretary General to the YMCA's President/Chair. It is important that the complaint is taken seriously and that the person complaining is protected, and maybe that it remains anonymous (so the Secretary General is not informed who made the complaint). This can create a safer work environment, where staff and volunteers feel that they can voice their concerns without being punished for it.</t>
  </si>
  <si>
    <t xml:space="preserve">Q415</t>
  </si>
  <si>
    <t xml:space="preserve">- Diversity, Equity and Inclusion Policy (including any Anti-Discrimination Policy)</t>
  </si>
  <si>
    <t xml:space="preserve">Q416</t>
  </si>
  <si>
    <t xml:space="preserve">- Health &amp; Safety Policy </t>
  </si>
  <si>
    <t xml:space="preserve">This can refer to the measures you are taking to ensure the physical and mental health of your staff and volunteers.</t>
  </si>
  <si>
    <t xml:space="preserve">Q417</t>
  </si>
  <si>
    <t xml:space="preserve">- Personnel/HR Policy</t>
  </si>
  <si>
    <t xml:space="preserve">Q418</t>
  </si>
  <si>
    <t xml:space="preserve">- Financial Procedures Manual/Handbook</t>
  </si>
  <si>
    <t xml:space="preserve">Q419</t>
  </si>
  <si>
    <t xml:space="preserve">- Gift Acceptance Policy</t>
  </si>
  <si>
    <t xml:space="preserve">The policy through which you decide if your YMCA's leadership can receive gifts from others and for which amounts. This is important, because gifts can also lead to influence and potential corruption.</t>
  </si>
  <si>
    <t xml:space="preserve">Q420</t>
  </si>
  <si>
    <t xml:space="preserve">- Cybersecurity / Artificial Intelligence Policy</t>
  </si>
  <si>
    <t xml:space="preserve">Q421</t>
  </si>
  <si>
    <t xml:space="preserve">- Data Protection and Privacy Policy</t>
  </si>
  <si>
    <t xml:space="preserve">Q422</t>
  </si>
  <si>
    <t xml:space="preserve">- Procurement Policy/Procedure</t>
  </si>
  <si>
    <t xml:space="preserve">This refers to the rules on how your YMCA buys services and products. For example, for transactions above a certain value you can decide you need stricter rules (eg. asking for more offers instead of buying directly from 1 supplier).</t>
  </si>
  <si>
    <t xml:space="preserve">Q423</t>
  </si>
  <si>
    <t xml:space="preserve">- Board Nomination / Election Procedure</t>
  </si>
  <si>
    <t xml:space="preserve">Q424</t>
  </si>
  <si>
    <t xml:space="preserve">- Membership Criteria (for federated structures)</t>
  </si>
  <si>
    <t xml:space="preserve">Q425</t>
  </si>
  <si>
    <t xml:space="preserve">- Code of Conduct for Board Members</t>
  </si>
  <si>
    <t xml:space="preserve">Q426</t>
  </si>
  <si>
    <t xml:space="preserve">- Code of Conduct for Staff Members and Volunteers</t>
  </si>
  <si>
    <t xml:space="preserve">Q427</t>
  </si>
  <si>
    <t xml:space="preserve">- Staff and Volunteers Wellbeing and professional development policies or procedures</t>
  </si>
  <si>
    <t xml:space="preserve">Q428</t>
  </si>
  <si>
    <t xml:space="preserve">- Climate Sustainability Policies (eg. carbon reduction policies, carbon audits etc.)</t>
  </si>
  <si>
    <t xml:space="preserve">Q429</t>
  </si>
  <si>
    <t xml:space="preserve">- Anti-corruption Policy</t>
  </si>
  <si>
    <t xml:space="preserve">Q430</t>
  </si>
  <si>
    <t xml:space="preserve">- Risk Management Policy/Plan</t>
  </si>
  <si>
    <t xml:space="preserve">Q431</t>
  </si>
  <si>
    <t xml:space="preserve">- Other relevant policies (which can also serve as best practices)</t>
  </si>
  <si>
    <t xml:space="preserve">MONITORING &amp; EVALUATION</t>
  </si>
  <si>
    <t xml:space="preserve">Does your YMCA monitor and evaluate the quality of the services/programmes you provide to your target-groups/community?</t>
  </si>
  <si>
    <t xml:space="preserve">This question seeks to determine if your YMCA has a formal way of checking if your programs are actually working and meeting the needs of your community. It distinguishes between doing this "only when necessary" versus "as a standard rule."</t>
  </si>
  <si>
    <t xml:space="preserve">Q511</t>
  </si>
  <si>
    <t xml:space="preserve">Project-based or when required by the partners / donors / funders </t>
  </si>
  <si>
    <t xml:space="preserve">This refers to occasional evaluation. Select this if monitoring is only performed for specific initiatives or when requested by external funders for a particular grant/project.</t>
  </si>
  <si>
    <t xml:space="preserve">Q512</t>
  </si>
  <si>
    <t xml:space="preserve">Systemically, through dedicated organisation-wide processes (eg. across all the projects and activities of your YMCA)</t>
  </si>
  <si>
    <t xml:space="preserve">This refers to permanent evaluation. Select this if your YMCA has established internal procedures to consistently measure the quality of all programs and services across the entire organization.</t>
  </si>
  <si>
    <t xml:space="preserve">Do you run needs assessment of your target groups/members periodically?</t>
  </si>
  <si>
    <t xml:space="preserve">Please write how often here</t>
  </si>
  <si>
    <t xml:space="preserve">Q513</t>
  </si>
  <si>
    <t xml:space="preserve">- Project-based or when required by the partners / donors / funders </t>
  </si>
  <si>
    <t xml:space="preserve">You only conduct research when starting a new specific project or because a donor asks for it.</t>
  </si>
  <si>
    <t xml:space="preserve">Q514</t>
  </si>
  <si>
    <t xml:space="preserve">- Systemically, through dedicated organisation-wide processes (eg. across all the projects and activities of your YMCA)</t>
  </si>
  <si>
    <t xml:space="preserve">Your YMCA has a fixed schedule or a permanent department that researches community needs regardless of specific funding.</t>
  </si>
  <si>
    <t xml:space="preserve">Q515</t>
  </si>
  <si>
    <t xml:space="preserve">Do you have mechanisms to record knowledge and experience, and make it accessible throughout the organisation? </t>
  </si>
  <si>
    <t xml:space="preserve">This refers to any knowledge management mechanism, platform or tool that you have. For example, to ensure best practices / information remains in your organisation even after some staff members leave or move to other areas of work. A specific case can be, for example, on camping knowledge. The tools, methods used, lessons learned can be made accessible to future camp leaders.</t>
  </si>
  <si>
    <t xml:space="preserve">Q516</t>
  </si>
  <si>
    <t xml:space="preserve">Does your YMCA use impact measurement tools?</t>
  </si>
  <si>
    <t xml:space="preserve">Does your YMCA use specific methodologies or software to track long-term change? (Examples: surveys, Social Return on Investment (SROI), specialized software, or focus groups).</t>
  </si>
  <si>
    <t xml:space="preserve">Q517</t>
  </si>
  <si>
    <t xml:space="preserve">If yes, which ones:</t>
  </si>
  <si>
    <t xml:space="preserve">Q518</t>
  </si>
  <si>
    <t xml:space="preserve">What is the total approximate number of beneficiaries that your YMCA reaches in a year (on average)?</t>
  </si>
  <si>
    <t xml:space="preserve">6 points</t>
  </si>
  <si>
    <t xml:space="preserve">STRATEGIC PLANNING &amp; MISSION</t>
  </si>
  <si>
    <t xml:space="preserve">Q610</t>
  </si>
  <si>
    <t xml:space="preserve">Does your National Movement have a Strategic Plan?</t>
  </si>
  <si>
    <t xml:space="preserve">Q611</t>
  </si>
  <si>
    <t xml:space="preserve">When did you adopt your current Strategic Plan and for what duration/years/period?</t>
  </si>
  <si>
    <t xml:space="preserve">Who participates in the formulation of the Strategic Plan:</t>
  </si>
  <si>
    <t xml:space="preserve">Q612</t>
  </si>
  <si>
    <t xml:space="preserve">- Staff </t>
  </si>
  <si>
    <t xml:space="preserve">Q613</t>
  </si>
  <si>
    <t xml:space="preserve">Q614</t>
  </si>
  <si>
    <t xml:space="preserve">- Members</t>
  </si>
  <si>
    <t xml:space="preserve">Q615</t>
  </si>
  <si>
    <t xml:space="preserve">- Volunteers</t>
  </si>
  <si>
    <t xml:space="preserve">Q616</t>
  </si>
  <si>
    <t xml:space="preserve">- Target-groups / Beneficiaries / Young people / Community</t>
  </si>
  <si>
    <t xml:space="preserve">Q617</t>
  </si>
  <si>
    <t xml:space="preserve">- Other partners (government, business, other relevant partners for your YMCA)</t>
  </si>
  <si>
    <t xml:space="preserve">Q618</t>
  </si>
  <si>
    <t xml:space="preserve">Do you revise / update your Strategic Plan annually to ensure it is still relevant?</t>
  </si>
  <si>
    <t xml:space="preserve">Q619</t>
  </si>
  <si>
    <t xml:space="preserve">Does your Strategic Plan have an innovation component? (does your YMCA aim to innovate in at least one area, such as programmes, operations, advocacy methods etc.?)</t>
  </si>
  <si>
    <t xml:space="preserve">Q620</t>
  </si>
  <si>
    <t xml:space="preserve">Is Vision 2030 reflected in your Strategic Plan?</t>
  </si>
  <si>
    <t xml:space="preserve">If yes, which of the following Vision 2030 components have been covered in your Strategic Plan?</t>
  </si>
  <si>
    <t xml:space="preserve">Q621</t>
  </si>
  <si>
    <t xml:space="preserve">- Collective Vision</t>
  </si>
  <si>
    <t xml:space="preserve">Q622</t>
  </si>
  <si>
    <t xml:space="preserve">- Collective Mission</t>
  </si>
  <si>
    <t xml:space="preserve">Q623</t>
  </si>
  <si>
    <t xml:space="preserve">- Pillar 1: Community Wellbeing</t>
  </si>
  <si>
    <t xml:space="preserve">Q624</t>
  </si>
  <si>
    <t xml:space="preserve">- Pillar 2: Meaningful Work</t>
  </si>
  <si>
    <t xml:space="preserve">Q625</t>
  </si>
  <si>
    <t xml:space="preserve">- Pillar 3: Sustainable Planet</t>
  </si>
  <si>
    <t xml:space="preserve">Q626</t>
  </si>
  <si>
    <t xml:space="preserve">- Pillar 4: Just World</t>
  </si>
  <si>
    <t xml:space="preserve">Q627</t>
  </si>
  <si>
    <t xml:space="preserve">- Vision 2030 Strategic Goals</t>
  </si>
  <si>
    <t xml:space="preserve">Q628</t>
  </si>
  <si>
    <t xml:space="preserve">What is your YMCA's vision and mission?</t>
  </si>
  <si>
    <t xml:space="preserve">Q629</t>
  </si>
  <si>
    <t xml:space="preserve">What are your YMCA's values?</t>
  </si>
  <si>
    <t xml:space="preserve">Q630</t>
  </si>
  <si>
    <t xml:space="preserve">Mission and Values are aligned (don't contradict) with the Christian values of the YMCA Movement (regardless of how this is expressed in writing)</t>
  </si>
  <si>
    <t xml:space="preserve">Do you have the following World YMCA Foundational and Fundamental Statements mentioned in your constitution, by-laws or similar statements?</t>
  </si>
  <si>
    <t xml:space="preserve">Q631</t>
  </si>
  <si>
    <t xml:space="preserve">- Paris Basis</t>
  </si>
  <si>
    <t xml:space="preserve">Q632</t>
  </si>
  <si>
    <t xml:space="preserve">- Kampala Principles</t>
  </si>
  <si>
    <t xml:space="preserve">Q633</t>
  </si>
  <si>
    <t xml:space="preserve">- Challenge 21</t>
  </si>
  <si>
    <t xml:space="preserve">Q634</t>
  </si>
  <si>
    <t xml:space="preserve">- Nairobi Statement</t>
  </si>
  <si>
    <t xml:space="preserve">Q635</t>
  </si>
  <si>
    <t xml:space="preserve">- World YMCA Value Statement</t>
  </si>
  <si>
    <t xml:space="preserve">DIVERSITY AND YOUTH PARTICIPATION</t>
  </si>
  <si>
    <t xml:space="preserve">Q710</t>
  </si>
  <si>
    <t xml:space="preserve">Is your YMCA open to any person, regardless of age, gender, religion, sexual orientation, economic background, ethnicity, political views, migration status etc.?</t>
  </si>
  <si>
    <t xml:space="preserve">Is there any provision in your constitution / statute / by-laws (or any other similar systems) regarding the following diversity and inclusion criteria (eg. minimum 30% of the board members should be under 30 years old, more than 50% should not be from the same gender etc.)</t>
  </si>
  <si>
    <t xml:space="preserve">Q711</t>
  </si>
  <si>
    <t xml:space="preserve">- Young people representation (as defined by your YMCA)</t>
  </si>
  <si>
    <t xml:space="preserve">Q712</t>
  </si>
  <si>
    <t xml:space="preserve">- Gender representation</t>
  </si>
  <si>
    <t xml:space="preserve">Q713</t>
  </si>
  <si>
    <t xml:space="preserve">- Other dimensions, if relevant (eg. indigenous communities, geographical etc.)</t>
  </si>
  <si>
    <t xml:space="preserve">Please detail:</t>
  </si>
  <si>
    <t xml:space="preserve">Q714</t>
  </si>
  <si>
    <t xml:space="preserve">Is there any procedure or initiative to ensure the equal participation of your board members regardless of background or experience?</t>
  </si>
  <si>
    <t xml:space="preserve">Q715</t>
  </si>
  <si>
    <t xml:space="preserve">If yes, please give more details:</t>
  </si>
  <si>
    <t xml:space="preserve">Q716</t>
  </si>
  <si>
    <t xml:space="preserve">Do you have any other policies and/or systems in place to ensure the equal participation and inclusion of young people, volunteers, staff members in the activities of your YMCA?</t>
  </si>
  <si>
    <t xml:space="preserve">Q717</t>
  </si>
  <si>
    <t xml:space="preserve">4 points</t>
  </si>
  <si>
    <t xml:space="preserve">COMMUNICATIONS AND BRANDING </t>
  </si>
  <si>
    <t xml:space="preserve">Q810</t>
  </si>
  <si>
    <t xml:space="preserve">Does your YMCA produce and publish an Annual Report which is available publicly?</t>
  </si>
  <si>
    <t xml:space="preserve">Q811</t>
  </si>
  <si>
    <t xml:space="preserve">Does your YMCA have a website that is regularly kept up to date?</t>
  </si>
  <si>
    <t xml:space="preserve">Q812</t>
  </si>
  <si>
    <t xml:space="preserve">Does your YMCA have a communications strategy?</t>
  </si>
  <si>
    <t xml:space="preserve">Q813</t>
  </si>
  <si>
    <t xml:space="preserve">Does your YMCA have a dedicated staff or volunteer on communications and/or public relations?</t>
  </si>
  <si>
    <t xml:space="preserve">Q814</t>
  </si>
  <si>
    <t xml:space="preserve">Is the brand/logo/trademark of your YMCA legally registered and protected by your national legislation?</t>
  </si>
  <si>
    <t xml:space="preserve">Q815</t>
  </si>
  <si>
    <t xml:space="preserve">(For Federations only) Does your national YMCA have licensing agreements with your member YMCAs which describe how the brand can be used (including provisions regarding what happens if the member leaves the federation)?</t>
  </si>
  <si>
    <t xml:space="preserve">5 points</t>
  </si>
  <si>
    <t xml:space="preserve">PROPERTY MANAGEMENT</t>
  </si>
  <si>
    <t xml:space="preserve">Q910</t>
  </si>
  <si>
    <t xml:space="preserve">Does your organisation have any property that it owns? (eg. buildings, land, vehicles, stocks, bonds, other investments etc.)</t>
  </si>
  <si>
    <t xml:space="preserve">Q911</t>
  </si>
  <si>
    <t xml:space="preserve">If yes, please list them:</t>
  </si>
  <si>
    <t xml:space="preserve">Q912</t>
  </si>
  <si>
    <t xml:space="preserve">Are your properties properly registered and documented?</t>
  </si>
  <si>
    <t xml:space="preserve">Q913</t>
  </si>
  <si>
    <t xml:space="preserve">Do you have any risks that might lead to the loss of the property or other similar negative outcomes?</t>
  </si>
  <si>
    <t xml:space="preserve">Q914</t>
  </si>
  <si>
    <t xml:space="preserve">If yes, please detail:</t>
  </si>
  <si>
    <t xml:space="preserve">Q915</t>
  </si>
  <si>
    <t xml:space="preserve">Do you have a property development plan?</t>
  </si>
  <si>
    <t xml:space="preserve">STAFF AND VOLUNTEER DEVELOPMENT </t>
  </si>
  <si>
    <t xml:space="preserve">Additional information</t>
  </si>
  <si>
    <t xml:space="preserve">Q1001</t>
  </si>
  <si>
    <t xml:space="preserve">Do you have enough volunteers to deliver your operational plan?</t>
  </si>
  <si>
    <t xml:space="preserve">Q1002</t>
  </si>
  <si>
    <t xml:space="preserve">Do you have enough staff people to deliver your operational plan?</t>
  </si>
  <si>
    <t xml:space="preserve">Q1003</t>
  </si>
  <si>
    <t xml:space="preserve">Do you have an effective system of staff and volunteers training? </t>
  </si>
  <si>
    <t xml:space="preserve">Q1004</t>
  </si>
  <si>
    <t xml:space="preserve">Are all employees officially hired?</t>
  </si>
  <si>
    <t xml:space="preserve">Q1005</t>
  </si>
  <si>
    <t xml:space="preserve">Do your employees benefit from social security/pension/health insurance? If yes, please give details if relevant.</t>
  </si>
  <si>
    <t xml:space="preserve">Q1006</t>
  </si>
  <si>
    <t xml:space="preserve">Please provide any additional context, if needed (eg. consultants, flexible work schemes etc)</t>
  </si>
  <si>
    <t xml:space="preserve">Q1007</t>
  </si>
  <si>
    <t xml:space="preserve">Is there a job description for each position?</t>
  </si>
  <si>
    <t xml:space="preserve">Q1008</t>
  </si>
  <si>
    <t xml:space="preserve">Total number of current staff in your YMCA</t>
  </si>
  <si>
    <t xml:space="preserve">Q1009</t>
  </si>
  <si>
    <t xml:space="preserve">Permanent / Core staff - Number</t>
  </si>
  <si>
    <t xml:space="preserve">Q1010</t>
  </si>
  <si>
    <t xml:space="preserve">Temporary / Seasonal - Number</t>
  </si>
  <si>
    <t xml:space="preserve">Q1011</t>
  </si>
  <si>
    <t xml:space="preserve">Project-based staff - Number</t>
  </si>
  <si>
    <t xml:space="preserve">Q1012</t>
  </si>
  <si>
    <t xml:space="preserve">Under 30 - Number</t>
  </si>
  <si>
    <t xml:space="preserve">Q1013</t>
  </si>
  <si>
    <t xml:space="preserve">Total number of current volunteers in your YMCA</t>
  </si>
  <si>
    <t xml:space="preserve">YMCA Score</t>
  </si>
  <si>
    <t xml:space="preserve">Maximum Score</t>
  </si>
  <si>
    <t xml:space="preserve">Status</t>
  </si>
  <si>
    <t xml:space="preserve">Percentage</t>
  </si>
  <si>
    <t xml:space="preserve">Range</t>
  </si>
  <si>
    <t xml:space="preserve">90% - 100%</t>
  </si>
  <si>
    <t xml:space="preserve">70% - 89%</t>
  </si>
  <si>
    <t xml:space="preserve">50% - 69%</t>
  </si>
  <si>
    <t xml:space="preserve">20% - 49%</t>
  </si>
  <si>
    <t xml:space="preserve">1% - 19%</t>
  </si>
  <si>
    <t xml:space="preserve">Not started</t>
  </si>
  <si>
    <t xml:space="preserve">Overall Percentage</t>
  </si>
  <si>
    <t xml:space="preserve">Priority Areas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</si>
</sst>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ZMW]#,##0"/>
  </numFmts>
  <fonts count="41">
    <font>
      <sz val="10.0"/>
      <color rgb="FF000000"/>
      <name val="Arial"/>
      <scheme val="minor"/>
    </font>
    <font>
      <i/>
      <sz val="11.0"/>
      <color rgb="FFFF0000"/>
      <name val="Trebuchet MS"/>
    </font>
    <font/>
    <font>
      <sz val="10.0"/>
      <color theme="1"/>
      <name val="Trebuchet MS"/>
    </font>
    <font>
      <b/>
      <sz val="15.0"/>
      <color theme="1"/>
      <name val="Trebuchet MS"/>
    </font>
    <font>
      <b/>
      <sz val="12.0"/>
      <color rgb="FF000000"/>
      <name val="Trebuchet MS"/>
    </font>
    <font>
      <sz val="10.0"/>
      <color rgb="FF000000"/>
      <name val="Trebuchet MS"/>
    </font>
    <font>
      <b/>
      <sz val="10.0"/>
      <color rgb="FF000000"/>
      <name val="Trebuchet MS"/>
    </font>
    <font>
      <b/>
      <sz val="10.0"/>
      <color theme="1"/>
      <name val="Trebuchet MS"/>
    </font>
    <font>
      <b/>
      <sz val="16.0"/>
      <color rgb="FF000000"/>
      <name val="Trebuchet MS"/>
    </font>
    <font>
      <sz val="10.0"/>
      <color theme="1"/>
      <name val="Arial"/>
    </font>
    <font>
      <sz val="10.0"/>
      <color rgb="FF000000"/>
      <name val="Arial"/>
    </font>
    <font>
      <sz val="10.0"/>
      <color rgb="FF274E13"/>
      <name val="Trebuchet MS"/>
    </font>
    <font>
      <b/>
      <sz val="10.0"/>
      <color rgb="FFFFFFFF"/>
      <name val="Trebuchet MS"/>
    </font>
    <font>
      <b/>
      <sz val="10.0"/>
      <color rgb="FF274E13"/>
      <name val="Trebuchet MS"/>
    </font>
    <font>
      <i/>
      <sz val="10.0"/>
      <color rgb="FFFF0000"/>
      <name val="Trebuchet MS"/>
    </font>
    <font>
      <sz val="8.0"/>
      <color rgb="FF000000"/>
      <name val="Trebuchet MS"/>
    </font>
    <font>
      <sz val="10.0"/>
      <color rgb="FF277E3E"/>
      <name val="Trebuchet MS"/>
    </font>
    <font>
      <i/>
      <sz val="10.0"/>
      <color rgb="FF000000"/>
      <name val="Trebuchet MS"/>
    </font>
    <font>
      <i/>
      <sz val="10.0"/>
      <color rgb="FF277E3E"/>
      <name val="Trebuchet MS"/>
    </font>
    <font>
      <b/>
      <sz val="10.0"/>
      <color rgb="FFFF0000"/>
      <name val="Trebuchet MS"/>
    </font>
    <font>
      <sz val="10.0"/>
      <color theme="0"/>
      <name val="Trebuchet MS"/>
    </font>
    <font>
      <b/>
      <sz val="10.0"/>
      <color rgb="FF7F6000"/>
      <name val="Trebuchet MS"/>
    </font>
    <font>
      <b/>
      <strike/>
      <sz val="10.0"/>
      <color rgb="FF274E13"/>
      <name val="Trebuchet MS"/>
    </font>
    <font>
      <sz val="10.0"/>
      <color rgb="FFFFFFFF"/>
      <name val="Trebuchet MS"/>
    </font>
    <font>
      <color theme="1"/>
      <name val="Arial"/>
      <scheme val="minor"/>
    </font>
    <font>
      <sz val="10.0"/>
      <color rgb="FFBC8D03"/>
      <name val="Trebuchet MS"/>
    </font>
    <font>
      <sz val="10.0"/>
      <color rgb="FFFF0000"/>
      <name val="Trebuchet MS"/>
    </font>
    <font>
      <sz val="8.0"/>
      <color rgb="FF274E13"/>
      <name val="Trebuchet MS"/>
    </font>
    <font>
      <b/>
      <i/>
      <sz val="10.0"/>
      <color rgb="FF000000"/>
      <name val="Trebuchet MS"/>
    </font>
    <font>
      <color rgb="FFFF0000"/>
      <name val="Trebuchet MS"/>
    </font>
    <font>
      <sz val="10.0"/>
      <color rgb="FF7F6000"/>
      <name val="Trebuchet MS"/>
    </font>
    <font>
      <b/>
      <i/>
      <sz val="10.0"/>
      <color theme="1"/>
      <name val="Trebuchet MS"/>
    </font>
    <font>
      <sz val="10.0"/>
      <color theme="5"/>
      <name val="Trebuchet MS"/>
    </font>
    <font>
      <sz val="10.0"/>
      <color rgb="FFFF0000"/>
      <name val="Arial"/>
    </font>
    <font>
      <color theme="1"/>
      <name val="Trebuchet MS"/>
    </font>
    <font>
      <i/>
      <sz val="10.0"/>
      <color theme="1"/>
      <name val="Trebuchet MS"/>
    </font>
    <font>
      <sz val="10.0"/>
      <color rgb="FF0B5394"/>
      <name val="Trebuchet MS"/>
    </font>
    <font>
      <b/>
      <sz val="13.0"/>
      <color rgb="FFFFFFFF"/>
      <name val="Trebuchet MS"/>
    </font>
    <font>
      <b/>
      <sz val="11.0"/>
      <color rgb="FFFFFFFF"/>
      <name val="Trebuchet MS"/>
    </font>
    <font>
      <sz val="10.0"/>
      <color rgb="FFFFFFFF"/>
      <name val="Arial"/>
    </font>
  </fonts>
  <fills count="28">
    <fill>
      <patternFill patternType="none"/>
    </fill>
    <fill>
      <patternFill patternType="lightGray"/>
    </fill>
    <fill>
      <patternFill patternType="solid">
        <fgColor rgb="FFFFFFFF"/>
        <bgColor rgb="FFFFFFFF"/>
      </patternFill>
    </fill>
    <fill>
      <patternFill patternType="solid">
        <fgColor rgb="FFD2F1DA"/>
        <bgColor rgb="FFD2F1DA"/>
      </patternFill>
    </fill>
    <fill>
      <patternFill patternType="solid">
        <fgColor theme="0"/>
        <bgColor theme="0"/>
      </patternFill>
    </fill>
    <fill>
      <patternFill patternType="solid">
        <fgColor rgb="FF38761D"/>
        <bgColor rgb="FF38761D"/>
      </patternFill>
    </fill>
    <fill>
      <patternFill patternType="solid">
        <fgColor rgb="FFD9EAD3"/>
        <bgColor rgb="FFD9EAD3"/>
      </patternFill>
    </fill>
    <fill>
      <patternFill patternType="solid">
        <fgColor rgb="FF72B15B"/>
        <bgColor rgb="FF72B15B"/>
      </patternFill>
    </fill>
    <fill>
      <patternFill patternType="solid">
        <fgColor rgb="FF277E3E"/>
        <bgColor rgb="FF277E3E"/>
      </patternFill>
    </fill>
    <fill>
      <patternFill patternType="solid">
        <fgColor rgb="FF274E13"/>
        <bgColor rgb="FF274E13"/>
      </patternFill>
    </fill>
    <fill>
      <patternFill patternType="solid">
        <fgColor rgb="FFBF9000"/>
        <bgColor rgb="FFBF9000"/>
      </patternFill>
    </fill>
    <fill>
      <patternFill patternType="solid">
        <fgColor rgb="FFFFF2CC"/>
        <bgColor rgb="FFFFF2CC"/>
      </patternFill>
    </fill>
    <fill>
      <patternFill patternType="solid">
        <fgColor rgb="FFDAA600"/>
        <bgColor rgb="FFDAA600"/>
      </patternFill>
    </fill>
    <fill>
      <patternFill patternType="solid">
        <fgColor rgb="FFFEF1CC"/>
        <bgColor rgb="FFFEF1CC"/>
      </patternFill>
    </fill>
    <fill>
      <patternFill patternType="solid">
        <fgColor rgb="FF67A650"/>
        <bgColor rgb="FF67A650"/>
      </patternFill>
    </fill>
    <fill>
      <patternFill patternType="solid">
        <fgColor rgb="FFEEB000"/>
        <bgColor rgb="FFEEB000"/>
      </patternFill>
    </fill>
    <fill>
      <patternFill patternType="solid">
        <fgColor rgb="FF6DAE56"/>
        <bgColor rgb="FF6DAE56"/>
      </patternFill>
    </fill>
    <fill>
      <patternFill patternType="solid">
        <fgColor rgb="FFD9EAD4"/>
        <bgColor rgb="FFD9EAD4"/>
      </patternFill>
    </fill>
    <fill>
      <patternFill patternType="solid">
        <fgColor rgb="FFE6AA00"/>
        <bgColor rgb="FFE6AA00"/>
      </patternFill>
    </fill>
    <fill>
      <patternFill patternType="solid">
        <fgColor rgb="FF65A44E"/>
        <bgColor rgb="FF65A44E"/>
      </patternFill>
    </fill>
    <fill>
      <patternFill patternType="solid">
        <fgColor rgb="FFB45F06"/>
        <bgColor rgb="FFB45F06"/>
      </patternFill>
    </fill>
    <fill>
      <patternFill patternType="solid">
        <fgColor rgb="FF0B5394"/>
        <bgColor rgb="FF0B5394"/>
      </patternFill>
    </fill>
    <fill>
      <patternFill patternType="solid">
        <fgColor theme="7"/>
        <bgColor theme="7"/>
      </patternFill>
    </fill>
    <fill>
      <patternFill patternType="solid">
        <fgColor theme="4"/>
        <bgColor theme="4"/>
      </patternFill>
    </fill>
    <fill>
      <patternFill patternType="solid">
        <fgColor theme="8"/>
        <bgColor theme="8"/>
      </patternFill>
    </fill>
    <fill>
      <patternFill patternType="solid">
        <fgColor theme="6"/>
        <bgColor theme="6"/>
      </patternFill>
    </fill>
    <fill>
      <patternFill patternType="solid">
        <fgColor theme="5"/>
        <bgColor theme="5"/>
      </patternFill>
    </fill>
    <fill>
      <patternFill patternType="solid">
        <fgColor rgb="FFD8D8D8"/>
        <bgColor rgb="FFD8D8D8"/>
      </patternFill>
    </fill>
  </fills>
  <borders count="46">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style="thin">
        <color theme="0"/>
      </left>
      <right style="thin">
        <color theme="0"/>
      </right>
      <top style="thin">
        <color theme="0"/>
      </top>
      <bottom style="thin">
        <color theme="0"/>
      </bottom>
    </border>
    <border>
      <left style="thin">
        <color theme="0"/>
      </left>
      <right style="thin">
        <color theme="0"/>
      </right>
      <top style="thin">
        <color theme="0"/>
      </top>
    </border>
    <border>
      <left style="thin">
        <color theme="0"/>
      </left>
      <right style="thin">
        <color theme="0"/>
      </right>
      <top style="thin">
        <color theme="0"/>
      </top>
      <bottom/>
    </border>
    <border>
      <left/>
      <right style="thin">
        <color rgb="FF000000"/>
      </right>
      <top/>
      <bottom style="thin">
        <color rgb="FF000000"/>
      </bottom>
    </border>
    <border>
      <left style="thin">
        <color theme="0"/>
      </left>
      <right style="thin">
        <color theme="0"/>
      </right>
    </border>
    <border>
      <left/>
      <right style="thin">
        <color rgb="FF000000"/>
      </right>
      <top style="thin">
        <color rgb="FF000000"/>
      </top>
      <bottom style="thin">
        <color rgb="FF000000"/>
      </bottom>
    </border>
    <border>
      <left style="thin">
        <color theme="0"/>
      </left>
      <right style="thin">
        <color theme="0"/>
      </right>
      <bottom style="thin">
        <color theme="0"/>
      </bottom>
    </border>
    <border>
      <left style="thin">
        <color rgb="FF000000"/>
      </left>
      <right style="thin">
        <color rgb="FF000000"/>
      </right>
      <top style="thin">
        <color rgb="FF000000"/>
      </top>
      <bottom style="thin">
        <color rgb="FF000000"/>
      </bottom>
    </border>
    <border>
      <left style="thin">
        <color theme="0"/>
      </left>
      <right/>
      <top style="thin">
        <color theme="0"/>
      </top>
      <bottom style="thin">
        <color theme="0"/>
      </bottom>
    </border>
    <border>
      <left/>
      <right style="thin">
        <color theme="0"/>
      </right>
      <top style="thin">
        <color theme="0"/>
      </top>
      <bottom style="thin">
        <color theme="0"/>
      </bottom>
    </border>
    <border>
      <left style="thin">
        <color theme="0"/>
      </left>
      <right style="thin">
        <color theme="0"/>
      </right>
      <top/>
      <bottom/>
    </border>
    <border>
      <left style="thin">
        <color rgb="FF000000"/>
      </left>
      <right style="thin">
        <color rgb="FF000000"/>
      </right>
      <bottom style="thin">
        <color rgb="FF000000"/>
      </bottom>
    </border>
    <border>
      <left style="thin">
        <color theme="0"/>
      </left>
      <right style="thin">
        <color theme="0"/>
      </right>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style="thin">
        <color theme="0"/>
      </left>
      <top style="thin">
        <color theme="0"/>
      </top>
    </border>
    <border>
      <top style="thin">
        <color theme="0"/>
      </top>
    </border>
    <border>
      <right style="thin">
        <color theme="0"/>
      </right>
      <top style="thin">
        <color theme="0"/>
      </top>
    </border>
    <border>
      <left style="thin">
        <color theme="0"/>
      </left>
      <bottom style="thin">
        <color theme="0"/>
      </bottom>
    </border>
    <border>
      <bottom style="thin">
        <color theme="0"/>
      </bottom>
    </border>
    <border>
      <right style="thin">
        <color theme="0"/>
      </right>
      <bottom style="thin">
        <color theme="0"/>
      </bottom>
    </border>
    <border>
      <left/>
      <top style="thin">
        <color rgb="FF000000"/>
      </top>
    </border>
    <border>
      <top style="thin">
        <color rgb="FF000000"/>
      </top>
    </border>
    <border>
      <right style="thin">
        <color rgb="FF000000"/>
      </right>
      <top style="thin">
        <color rgb="FF000000"/>
      </top>
    </border>
    <border>
      <left/>
      <bottom style="thin">
        <color rgb="FF000000"/>
      </bottom>
    </border>
    <border>
      <bottom style="thin">
        <color rgb="FF000000"/>
      </bottom>
    </border>
    <border>
      <right style="thin">
        <color rgb="FF000000"/>
      </right>
      <bottom style="thin">
        <color rgb="FF000000"/>
      </bottom>
    </border>
    <border>
      <left style="thin">
        <color theme="0"/>
      </left>
      <right/>
      <top style="thin">
        <color theme="0"/>
      </top>
      <bottom/>
    </border>
    <border>
      <left style="thin">
        <color rgb="FF000000"/>
      </left>
      <right style="thin">
        <color rgb="FF000000"/>
      </right>
      <top/>
      <bottom style="thin">
        <color rgb="FF000000"/>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1" fillId="2" fontId="4" numFmtId="0" xfId="0" applyAlignment="1" applyBorder="1" applyFont="1">
      <alignment horizontal="center" vertical="center"/>
    </xf>
    <xf borderId="0" fillId="0" fontId="3" numFmtId="0" xfId="0" applyAlignment="1" applyFont="1">
      <alignment horizontal="center" vertical="center"/>
    </xf>
    <xf borderId="0" fillId="0" fontId="5" numFmtId="0" xfId="0" applyAlignment="1" applyFont="1">
      <alignment vertical="center"/>
    </xf>
    <xf borderId="0" fillId="0" fontId="6" numFmtId="0" xfId="0" applyAlignment="1" applyFont="1">
      <alignment shrinkToFit="0" vertical="center" wrapText="1"/>
    </xf>
    <xf borderId="4" fillId="0" fontId="7" numFmtId="0" xfId="0" applyAlignment="1" applyBorder="1" applyFont="1">
      <alignment horizontal="center" shrinkToFit="0" vertical="center" wrapText="1"/>
    </xf>
    <xf borderId="5" fillId="0" fontId="2" numFmtId="0" xfId="0" applyBorder="1" applyFont="1"/>
    <xf borderId="6" fillId="0" fontId="2" numFmtId="0" xfId="0" applyBorder="1" applyFont="1"/>
    <xf borderId="4" fillId="0" fontId="7" numFmtId="0" xfId="0" applyAlignment="1" applyBorder="1" applyFont="1">
      <alignment horizontal="left" shrinkToFit="0" vertical="center" wrapText="1"/>
    </xf>
    <xf borderId="4" fillId="0" fontId="6" numFmtId="0" xfId="0" applyAlignment="1" applyBorder="1" applyFont="1">
      <alignment shrinkToFit="0" vertical="center" wrapText="1"/>
    </xf>
    <xf borderId="0" fillId="0" fontId="3" numFmtId="49" xfId="0" applyAlignment="1" applyFont="1" applyNumberFormat="1">
      <alignment shrinkToFit="0" vertical="center" wrapText="1"/>
    </xf>
    <xf borderId="0" fillId="0" fontId="8" numFmtId="0" xfId="0" applyAlignment="1" applyFont="1">
      <alignment vertical="center"/>
    </xf>
    <xf borderId="0" fillId="0" fontId="3" numFmtId="0" xfId="0" applyAlignment="1" applyFont="1">
      <alignment shrinkToFit="0" vertical="center" wrapText="1"/>
    </xf>
    <xf borderId="7" fillId="3" fontId="3" numFmtId="0" xfId="0" applyAlignment="1" applyBorder="1" applyFill="1" applyFont="1">
      <alignment vertical="center"/>
    </xf>
    <xf borderId="1" fillId="3" fontId="3" numFmtId="0" xfId="0" applyAlignment="1" applyBorder="1" applyFont="1">
      <alignment horizontal="center" shrinkToFit="0" vertical="center" wrapText="1"/>
    </xf>
    <xf borderId="0" fillId="0" fontId="3" numFmtId="0" xfId="0" applyAlignment="1" applyFont="1">
      <alignment horizontal="left" shrinkToFit="0" vertical="center" wrapText="1"/>
    </xf>
    <xf borderId="1" fillId="4" fontId="9" numFmtId="0" xfId="0" applyAlignment="1" applyBorder="1" applyFill="1" applyFont="1">
      <alignment horizontal="center" shrinkToFit="0" vertical="center" wrapText="1"/>
    </xf>
    <xf borderId="0" fillId="0" fontId="10" numFmtId="0" xfId="0" applyFont="1"/>
    <xf borderId="0" fillId="0" fontId="6" numFmtId="0" xfId="0" applyFont="1"/>
    <xf borderId="0" fillId="0" fontId="6" numFmtId="0" xfId="0" applyAlignment="1" applyFont="1">
      <alignment horizontal="center" shrinkToFit="0" vertical="center" wrapText="1"/>
    </xf>
    <xf borderId="0" fillId="0" fontId="11" numFmtId="0" xfId="0" applyFont="1"/>
    <xf borderId="0" fillId="0" fontId="12" numFmtId="0" xfId="0" applyFont="1"/>
    <xf borderId="0" fillId="0" fontId="12" numFmtId="0" xfId="0" applyAlignment="1" applyFont="1">
      <alignment vertical="top"/>
    </xf>
    <xf borderId="8" fillId="0" fontId="12" numFmtId="0" xfId="0" applyAlignment="1" applyBorder="1" applyFont="1">
      <alignment shrinkToFit="0" vertical="center" wrapText="1"/>
    </xf>
    <xf borderId="8" fillId="0" fontId="12" numFmtId="0" xfId="0" applyAlignment="1" applyBorder="1" applyFont="1">
      <alignment horizontal="left" shrinkToFit="0" vertical="center" wrapText="1"/>
    </xf>
    <xf borderId="0" fillId="0" fontId="12" numFmtId="0" xfId="0" applyAlignment="1" applyFont="1">
      <alignment horizontal="left" shrinkToFit="0" wrapText="1"/>
    </xf>
    <xf borderId="0" fillId="0" fontId="13" numFmtId="0" xfId="0" applyAlignment="1" applyFont="1">
      <alignment horizontal="center" vertical="top"/>
    </xf>
    <xf borderId="8" fillId="5" fontId="13" numFmtId="0" xfId="0" applyAlignment="1" applyBorder="1" applyFill="1" applyFont="1">
      <alignment horizontal="center" shrinkToFit="0" vertical="center" wrapText="1"/>
    </xf>
    <xf borderId="8" fillId="5" fontId="13" numFmtId="0" xfId="0" applyAlignment="1" applyBorder="1" applyFont="1">
      <alignment shrinkToFit="0" vertical="center" wrapText="1"/>
    </xf>
    <xf borderId="0" fillId="0" fontId="14" numFmtId="0" xfId="0" applyAlignment="1" applyFont="1">
      <alignment horizontal="center" vertical="top"/>
    </xf>
    <xf borderId="9" fillId="6" fontId="12" numFmtId="0" xfId="0" applyAlignment="1" applyBorder="1" applyFill="1" applyFont="1">
      <alignment horizontal="center" shrinkToFit="0" vertical="center" wrapText="1"/>
    </xf>
    <xf borderId="10" fillId="6" fontId="12" numFmtId="0" xfId="0" applyAlignment="1" applyBorder="1" applyFont="1">
      <alignment horizontal="center" shrinkToFit="0" vertical="center" wrapText="1"/>
    </xf>
    <xf borderId="8" fillId="6" fontId="6" numFmtId="0" xfId="0" applyAlignment="1" applyBorder="1" applyFont="1">
      <alignment shrinkToFit="0" vertical="center" wrapText="1"/>
    </xf>
    <xf borderId="11" fillId="6" fontId="15" numFmtId="0" xfId="0" applyAlignment="1" applyBorder="1" applyFont="1">
      <alignment horizontal="center" readingOrder="0" shrinkToFit="0" vertical="center" wrapText="1"/>
    </xf>
    <xf borderId="8" fillId="6" fontId="12" numFmtId="0" xfId="0" applyAlignment="1" applyBorder="1" applyFont="1">
      <alignment horizontal="center" shrinkToFit="0" vertical="center" wrapText="1"/>
    </xf>
    <xf borderId="8" fillId="6" fontId="16" numFmtId="0" xfId="0" applyAlignment="1" applyBorder="1" applyFont="1">
      <alignment shrinkToFit="0" vertical="center" wrapText="1"/>
    </xf>
    <xf borderId="12" fillId="0" fontId="2" numFmtId="0" xfId="0" applyBorder="1" applyFont="1"/>
    <xf borderId="13" fillId="6" fontId="15" numFmtId="0" xfId="0" applyAlignment="1" applyBorder="1" applyFont="1">
      <alignment horizontal="center" readingOrder="0" shrinkToFit="0" vertical="center" wrapText="1"/>
    </xf>
    <xf borderId="8" fillId="6" fontId="15" numFmtId="0" xfId="0" applyAlignment="1" applyBorder="1" applyFont="1">
      <alignment horizontal="center" readingOrder="0" shrinkToFit="0" vertical="center" wrapText="1"/>
    </xf>
    <xf borderId="14" fillId="0" fontId="2" numFmtId="0" xfId="0" applyBorder="1" applyFont="1"/>
    <xf borderId="8" fillId="6" fontId="3" numFmtId="0" xfId="0" applyAlignment="1" applyBorder="1" applyFont="1">
      <alignment shrinkToFit="0" vertical="center" wrapText="1"/>
    </xf>
    <xf borderId="8" fillId="6" fontId="17" numFmtId="0" xfId="0" applyAlignment="1" applyBorder="1" applyFont="1">
      <alignment horizontal="center" readingOrder="0" shrinkToFit="0" vertical="center" wrapText="1"/>
    </xf>
    <xf borderId="15" fillId="6" fontId="12" numFmtId="0" xfId="0" applyAlignment="1" applyBorder="1" applyFont="1">
      <alignment horizontal="center" readingOrder="0" shrinkToFit="0" vertical="center" wrapText="1"/>
    </xf>
    <xf borderId="0" fillId="0" fontId="7" numFmtId="0" xfId="0" applyAlignment="1" applyFont="1">
      <alignment horizontal="center" vertical="top"/>
    </xf>
    <xf borderId="8" fillId="6" fontId="6" numFmtId="0" xfId="0" applyAlignment="1" applyBorder="1" applyFont="1">
      <alignment horizontal="center" shrinkToFit="0" vertical="center" wrapText="1"/>
    </xf>
    <xf borderId="9" fillId="6" fontId="6" numFmtId="0" xfId="0" applyAlignment="1" applyBorder="1" applyFont="1">
      <alignment horizontal="center" shrinkToFit="0" vertical="center" wrapText="1"/>
    </xf>
    <xf borderId="16" fillId="7" fontId="7" numFmtId="0" xfId="0" applyAlignment="1" applyBorder="1" applyFill="1" applyFont="1">
      <alignment horizontal="left" shrinkToFit="0" vertical="center" wrapText="1"/>
    </xf>
    <xf borderId="8" fillId="6" fontId="18" numFmtId="49" xfId="0" applyAlignment="1" applyBorder="1" applyFont="1" applyNumberFormat="1">
      <alignment shrinkToFit="0" vertical="center" wrapText="1"/>
    </xf>
    <xf borderId="8" fillId="6" fontId="19" numFmtId="0" xfId="0" applyAlignment="1" applyBorder="1" applyFont="1">
      <alignment horizontal="center" readingOrder="0" shrinkToFit="0" vertical="center" wrapText="1"/>
    </xf>
    <xf borderId="16" fillId="6" fontId="6" numFmtId="0" xfId="0" applyAlignment="1" applyBorder="1" applyFont="1">
      <alignment horizontal="left" shrinkToFit="0" vertical="center" wrapText="1"/>
    </xf>
    <xf borderId="8" fillId="6" fontId="6" numFmtId="0" xfId="0" applyAlignment="1" applyBorder="1" applyFont="1">
      <alignment horizontal="left" shrinkToFit="0" vertical="center" wrapText="1"/>
    </xf>
    <xf borderId="17" fillId="6" fontId="6" numFmtId="0" xfId="0" applyAlignment="1" applyBorder="1" applyFont="1">
      <alignment horizontal="left" shrinkToFit="0" vertical="center" wrapText="1"/>
    </xf>
    <xf borderId="8" fillId="6" fontId="19" numFmtId="0" xfId="0" applyAlignment="1" applyBorder="1" applyFont="1">
      <alignment horizontal="center" shrinkToFit="0" vertical="center" wrapText="1"/>
    </xf>
    <xf borderId="0" fillId="0" fontId="13" numFmtId="0" xfId="0" applyAlignment="1" applyFont="1">
      <alignment horizontal="center" vertical="center"/>
    </xf>
    <xf borderId="0" fillId="0" fontId="7" numFmtId="0" xfId="0" applyAlignment="1" applyFont="1">
      <alignment horizontal="center" vertical="center"/>
    </xf>
    <xf borderId="8" fillId="8" fontId="13" numFmtId="0" xfId="0" applyAlignment="1" applyBorder="1" applyFill="1" applyFont="1">
      <alignment horizontal="center" shrinkToFit="0" vertical="center" wrapText="1"/>
    </xf>
    <xf borderId="8" fillId="0" fontId="3" numFmtId="0" xfId="0" applyAlignment="1" applyBorder="1" applyFont="1">
      <alignment shrinkToFit="0" vertical="center" wrapText="1"/>
    </xf>
    <xf borderId="8" fillId="0" fontId="3" numFmtId="0" xfId="0" applyAlignment="1" applyBorder="1" applyFont="1">
      <alignment horizontal="center" shrinkToFit="0" vertical="center" wrapText="1"/>
    </xf>
    <xf borderId="8" fillId="0" fontId="12" numFmtId="10" xfId="0" applyAlignment="1" applyBorder="1" applyFont="1" applyNumberFormat="1">
      <alignment horizontal="center" shrinkToFit="0" vertical="center" wrapText="1"/>
    </xf>
    <xf borderId="7" fillId="4" fontId="12" numFmtId="0" xfId="0" applyBorder="1" applyFont="1"/>
    <xf borderId="8" fillId="0" fontId="3" numFmtId="0" xfId="0" applyAlignment="1" applyBorder="1" applyFont="1">
      <alignment horizontal="center"/>
    </xf>
    <xf borderId="8" fillId="0" fontId="3" numFmtId="0" xfId="0" applyAlignment="1" applyBorder="1" applyFont="1">
      <alignment horizontal="center" shrinkToFit="0" wrapText="1"/>
    </xf>
    <xf borderId="8" fillId="0" fontId="8" numFmtId="0" xfId="0" applyAlignment="1" applyBorder="1" applyFont="1">
      <alignment shrinkToFit="0" vertical="center" wrapText="1"/>
    </xf>
    <xf borderId="8" fillId="0" fontId="8" numFmtId="0" xfId="0" applyAlignment="1" applyBorder="1" applyFont="1">
      <alignment horizontal="center" shrinkToFit="0" vertical="center" wrapText="1"/>
    </xf>
    <xf borderId="8" fillId="0" fontId="20" numFmtId="0" xfId="0" applyAlignment="1" applyBorder="1" applyFont="1">
      <alignment horizontal="center" shrinkToFit="0" vertical="center" wrapText="1"/>
    </xf>
    <xf borderId="8" fillId="0" fontId="14" numFmtId="10" xfId="0" applyAlignment="1" applyBorder="1" applyFont="1" applyNumberFormat="1">
      <alignment horizontal="center" shrinkToFit="0" vertical="center" wrapText="1"/>
    </xf>
    <xf borderId="8" fillId="9" fontId="21" numFmtId="0" xfId="0" applyAlignment="1" applyBorder="1" applyFill="1" applyFont="1">
      <alignment shrinkToFit="0" vertical="center" wrapText="1"/>
    </xf>
    <xf borderId="8" fillId="9" fontId="12" numFmtId="0" xfId="0" applyAlignment="1" applyBorder="1" applyFont="1">
      <alignment shrinkToFit="0" vertical="center" wrapText="1"/>
    </xf>
    <xf borderId="8" fillId="0" fontId="12" numFmtId="0" xfId="0" applyBorder="1" applyFont="1"/>
    <xf borderId="0" fillId="0" fontId="22" numFmtId="0" xfId="0" applyAlignment="1" applyFont="1">
      <alignment horizontal="center" vertical="center"/>
    </xf>
    <xf borderId="8" fillId="6" fontId="12" numFmtId="0" xfId="0" applyAlignment="1" applyBorder="1" applyFont="1">
      <alignment shrinkToFit="0" vertical="center" wrapText="1"/>
    </xf>
    <xf borderId="8" fillId="6" fontId="17" numFmtId="0" xfId="0" applyAlignment="1" applyBorder="1" applyFont="1">
      <alignment readingOrder="0" shrinkToFit="0" vertical="center" wrapText="1"/>
    </xf>
    <xf borderId="8" fillId="0" fontId="11" numFmtId="0" xfId="0" applyBorder="1" applyFont="1"/>
    <xf borderId="0" fillId="0" fontId="7" numFmtId="0" xfId="0" applyAlignment="1" applyFont="1">
      <alignment horizontal="center" shrinkToFit="0" vertical="top" wrapText="1"/>
    </xf>
    <xf borderId="8" fillId="2" fontId="12" numFmtId="0" xfId="0" applyAlignment="1" applyBorder="1" applyFont="1">
      <alignment shrinkToFit="0" vertical="center" wrapText="1"/>
    </xf>
    <xf borderId="8" fillId="2" fontId="12" numFmtId="0" xfId="0" applyAlignment="1" applyBorder="1" applyFont="1">
      <alignment horizontal="left" shrinkToFit="0" vertical="center" wrapText="1"/>
    </xf>
    <xf borderId="7" fillId="2" fontId="12" numFmtId="0" xfId="0" applyAlignment="1" applyBorder="1" applyFont="1">
      <alignment horizontal="left" shrinkToFit="0" wrapText="1"/>
    </xf>
    <xf borderId="0" fillId="0" fontId="14" numFmtId="0" xfId="0" applyAlignment="1" applyFont="1">
      <alignment horizontal="center" vertical="center"/>
    </xf>
    <xf borderId="0" fillId="0" fontId="23" numFmtId="0" xfId="0" applyAlignment="1" applyFont="1">
      <alignment horizontal="center" vertical="center"/>
    </xf>
    <xf borderId="0" fillId="0" fontId="8" numFmtId="0" xfId="0" applyAlignment="1" applyFont="1">
      <alignment horizontal="center" vertical="center"/>
    </xf>
    <xf borderId="0" fillId="0" fontId="24" numFmtId="0" xfId="0" applyAlignment="1" applyFont="1">
      <alignment horizontal="center" shrinkToFit="0" vertical="center" wrapText="1"/>
    </xf>
    <xf borderId="8" fillId="0" fontId="14" numFmtId="0" xfId="0" applyAlignment="1" applyBorder="1" applyFont="1">
      <alignment shrinkToFit="0" vertical="center" wrapText="1"/>
    </xf>
    <xf borderId="0" fillId="0" fontId="24" numFmtId="0" xfId="0" applyAlignment="1" applyFont="1">
      <alignment vertical="top"/>
    </xf>
    <xf borderId="7" fillId="2" fontId="22" numFmtId="0" xfId="0" applyAlignment="1" applyBorder="1" applyFont="1">
      <alignment horizontal="center" vertical="center"/>
    </xf>
    <xf borderId="0" fillId="0" fontId="25" numFmtId="0" xfId="0" applyFont="1"/>
    <xf borderId="8" fillId="10" fontId="13" numFmtId="0" xfId="0" applyAlignment="1" applyBorder="1" applyFill="1" applyFont="1">
      <alignment horizontal="center" shrinkToFit="0" vertical="center" wrapText="1"/>
    </xf>
    <xf borderId="8" fillId="10" fontId="13" numFmtId="0" xfId="0" applyAlignment="1" applyBorder="1" applyFont="1">
      <alignment shrinkToFit="0" vertical="center" wrapText="1"/>
    </xf>
    <xf borderId="18" fillId="10" fontId="13" numFmtId="0" xfId="0" applyAlignment="1" applyBorder="1" applyFont="1">
      <alignment horizontal="center" shrinkToFit="0" vertical="center" wrapText="1"/>
    </xf>
    <xf borderId="8" fillId="11" fontId="7" numFmtId="0" xfId="0" applyAlignment="1" applyBorder="1" applyFill="1" applyFont="1">
      <alignment horizontal="center" shrinkToFit="0" vertical="center" wrapText="1"/>
    </xf>
    <xf borderId="8" fillId="11" fontId="7" numFmtId="0" xfId="0" applyAlignment="1" applyBorder="1" applyFont="1">
      <alignment shrinkToFit="0" vertical="center" wrapText="1"/>
    </xf>
    <xf borderId="8" fillId="11" fontId="26" numFmtId="0" xfId="0" applyAlignment="1" applyBorder="1" applyFont="1">
      <alignment horizontal="center" readingOrder="0" shrinkToFit="0" vertical="center" wrapText="1"/>
    </xf>
    <xf borderId="8" fillId="11" fontId="27" numFmtId="0" xfId="0" applyAlignment="1" applyBorder="1" applyFont="1">
      <alignment horizontal="center" shrinkToFit="0" vertical="center" wrapText="1"/>
    </xf>
    <xf borderId="8" fillId="11" fontId="12" numFmtId="0" xfId="0" applyAlignment="1" applyBorder="1" applyFont="1">
      <alignment horizontal="center" shrinkToFit="0" vertical="center" wrapText="1"/>
    </xf>
    <xf borderId="8" fillId="11" fontId="28" numFmtId="0" xfId="0" applyAlignment="1" applyBorder="1" applyFont="1">
      <alignment horizontal="center" shrinkToFit="0" vertical="center" wrapText="1"/>
    </xf>
    <xf borderId="9" fillId="11" fontId="7" numFmtId="0" xfId="0" applyAlignment="1" applyBorder="1" applyFont="1">
      <alignment horizontal="center" shrinkToFit="0" vertical="center" wrapText="1"/>
    </xf>
    <xf borderId="8" fillId="12" fontId="13" numFmtId="0" xfId="0" applyAlignment="1" applyBorder="1" applyFill="1" applyFont="1">
      <alignment shrinkToFit="0" vertical="center" wrapText="1"/>
    </xf>
    <xf borderId="8" fillId="12" fontId="6" numFmtId="0" xfId="0" applyAlignment="1" applyBorder="1" applyFont="1">
      <alignment horizontal="center" readingOrder="0" shrinkToFit="0" vertical="center" wrapText="1"/>
    </xf>
    <xf borderId="8" fillId="12" fontId="12" numFmtId="0" xfId="0" applyAlignment="1" applyBorder="1" applyFont="1">
      <alignment horizontal="center" shrinkToFit="0" vertical="center" wrapText="1"/>
    </xf>
    <xf borderId="8" fillId="12" fontId="28" numFmtId="0" xfId="0" applyAlignment="1" applyBorder="1" applyFont="1">
      <alignment horizontal="center" shrinkToFit="0" vertical="center" wrapText="1"/>
    </xf>
    <xf borderId="8" fillId="11" fontId="29" numFmtId="49" xfId="0" applyAlignment="1" applyBorder="1" applyFont="1" applyNumberFormat="1">
      <alignment shrinkToFit="0" vertical="center" wrapText="1"/>
    </xf>
    <xf borderId="15" fillId="11" fontId="12" numFmtId="0" xfId="0" applyAlignment="1" applyBorder="1" applyFont="1">
      <alignment horizontal="center" readingOrder="0" shrinkToFit="0" vertical="center" wrapText="1"/>
    </xf>
    <xf borderId="8" fillId="13" fontId="27" numFmtId="0" xfId="0" applyAlignment="1" applyBorder="1" applyFill="1" applyFont="1">
      <alignment horizontal="center" shrinkToFit="0" vertical="center" wrapText="1"/>
    </xf>
    <xf borderId="15" fillId="11" fontId="30" numFmtId="164" xfId="0" applyAlignment="1" applyBorder="1" applyFont="1" applyNumberFormat="1">
      <alignment horizontal="center" readingOrder="0" vertical="bottom"/>
    </xf>
    <xf borderId="8" fillId="11" fontId="6" numFmtId="0" xfId="0" applyAlignment="1" applyBorder="1" applyFont="1">
      <alignment horizontal="center" shrinkToFit="0" vertical="center" wrapText="1"/>
    </xf>
    <xf borderId="19" fillId="11" fontId="30" numFmtId="164" xfId="0" applyAlignment="1" applyBorder="1" applyFont="1" applyNumberFormat="1">
      <alignment horizontal="center" readingOrder="0" vertical="bottom"/>
    </xf>
    <xf borderId="8" fillId="11" fontId="27" numFmtId="164" xfId="0" applyAlignment="1" applyBorder="1" applyFont="1" applyNumberFormat="1">
      <alignment horizontal="center" shrinkToFit="0" vertical="center" wrapText="1"/>
    </xf>
    <xf borderId="8" fillId="12" fontId="13" numFmtId="0" xfId="0" applyAlignment="1" applyBorder="1" applyFont="1">
      <alignment horizontal="center" shrinkToFit="0" vertical="center" wrapText="1"/>
    </xf>
    <xf borderId="8" fillId="12" fontId="31" numFmtId="0" xfId="0" applyAlignment="1" applyBorder="1" applyFont="1">
      <alignment horizontal="center" shrinkToFit="0" vertical="center" wrapText="1"/>
    </xf>
    <xf borderId="8" fillId="11" fontId="29" numFmtId="0" xfId="0" applyAlignment="1" applyBorder="1" applyFont="1">
      <alignment shrinkToFit="0" vertical="center" wrapText="1"/>
    </xf>
    <xf borderId="8" fillId="11" fontId="27" numFmtId="0" xfId="0" applyAlignment="1" applyBorder="1" applyFont="1">
      <alignment horizontal="center" readingOrder="0" shrinkToFit="0" vertical="center" wrapText="1"/>
    </xf>
    <xf borderId="9" fillId="13" fontId="27" numFmtId="0" xfId="0" applyAlignment="1" applyBorder="1" applyFont="1">
      <alignment horizontal="center" shrinkToFit="0" vertical="center" wrapText="1"/>
    </xf>
    <xf borderId="9" fillId="11" fontId="31" numFmtId="0" xfId="0" applyAlignment="1" applyBorder="1" applyFont="1">
      <alignment horizontal="center" shrinkToFit="0" vertical="center" wrapText="1"/>
    </xf>
    <xf borderId="8" fillId="11" fontId="32" numFmtId="0" xfId="0" applyAlignment="1" applyBorder="1" applyFont="1">
      <alignment shrinkToFit="0" vertical="center" wrapText="1"/>
    </xf>
    <xf borderId="8" fillId="11" fontId="27" numFmtId="2" xfId="0" applyAlignment="1" applyBorder="1" applyFont="1" applyNumberFormat="1">
      <alignment horizontal="center" readingOrder="0" shrinkToFit="0" vertical="center" wrapText="1"/>
    </xf>
    <xf borderId="9" fillId="11" fontId="27" numFmtId="0" xfId="0" applyAlignment="1" applyBorder="1" applyFont="1">
      <alignment horizontal="center" shrinkToFit="0" vertical="center" wrapText="1"/>
    </xf>
    <xf borderId="8" fillId="11" fontId="27" numFmtId="1" xfId="0" applyAlignment="1" applyBorder="1" applyFont="1" applyNumberFormat="1">
      <alignment horizontal="center" readingOrder="0" shrinkToFit="0" vertical="center" wrapText="1"/>
    </xf>
    <xf borderId="20" fillId="0" fontId="2" numFmtId="0" xfId="0" applyBorder="1" applyFont="1"/>
    <xf borderId="8" fillId="11" fontId="33" numFmtId="0" xfId="0" applyAlignment="1" applyBorder="1" applyFont="1">
      <alignment horizontal="center" shrinkToFit="0" vertical="center" wrapText="1"/>
    </xf>
    <xf borderId="10" fillId="12" fontId="12" numFmtId="0" xfId="0" applyAlignment="1" applyBorder="1" applyFont="1">
      <alignment horizontal="center" shrinkToFit="0" vertical="center" wrapText="1"/>
    </xf>
    <xf borderId="8" fillId="11" fontId="3" numFmtId="0" xfId="0" applyAlignment="1" applyBorder="1" applyFont="1">
      <alignment horizontal="center" shrinkToFit="0" vertical="center" wrapText="1"/>
    </xf>
    <xf borderId="8" fillId="13" fontId="12" numFmtId="0" xfId="0" applyAlignment="1" applyBorder="1" applyFont="1">
      <alignment horizontal="center" shrinkToFit="0" vertical="center" wrapText="1"/>
    </xf>
    <xf borderId="15" fillId="13" fontId="12" numFmtId="0" xfId="0" applyAlignment="1" applyBorder="1" applyFont="1">
      <alignment horizontal="center" readingOrder="0" shrinkToFit="0" vertical="center" wrapText="1"/>
    </xf>
    <xf borderId="21" fillId="11" fontId="7" numFmtId="0" xfId="0" applyAlignment="1" applyBorder="1" applyFont="1">
      <alignment horizontal="center" shrinkToFit="0" vertical="center" wrapText="1"/>
    </xf>
    <xf borderId="22" fillId="0" fontId="2" numFmtId="0" xfId="0" applyBorder="1" applyFont="1"/>
    <xf borderId="23" fillId="0" fontId="2" numFmtId="0" xfId="0" applyBorder="1" applyFont="1"/>
    <xf borderId="21" fillId="11" fontId="3" numFmtId="0" xfId="0" applyAlignment="1" applyBorder="1" applyFont="1">
      <alignment horizontal="center" vertical="center"/>
    </xf>
    <xf borderId="21" fillId="11" fontId="26" numFmtId="0" xfId="0" applyAlignment="1" applyBorder="1" applyFont="1">
      <alignment horizontal="center" shrinkToFit="0" vertical="center" wrapText="1"/>
    </xf>
    <xf borderId="8" fillId="11" fontId="26" numFmtId="0" xfId="0" applyAlignment="1" applyBorder="1" applyFont="1">
      <alignment horizontal="center" shrinkToFit="0" vertical="center" wrapText="1"/>
    </xf>
    <xf borderId="24" fillId="11" fontId="7" numFmtId="0" xfId="0" applyAlignment="1" applyBorder="1" applyFont="1">
      <alignment horizontal="center" shrinkToFit="0" vertical="center" wrapText="1"/>
    </xf>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29" fillId="0" fontId="2" numFmtId="0" xfId="0" applyBorder="1" applyFont="1"/>
    <xf borderId="8" fillId="5" fontId="24" numFmtId="0" xfId="0" applyAlignment="1" applyBorder="1" applyFont="1">
      <alignment shrinkToFit="0" vertical="center" wrapText="1"/>
    </xf>
    <xf borderId="18" fillId="5" fontId="13" numFmtId="0" xfId="0" applyAlignment="1" applyBorder="1" applyFont="1">
      <alignment horizontal="center" shrinkToFit="0" vertical="center" wrapText="1"/>
    </xf>
    <xf borderId="9" fillId="6" fontId="7" numFmtId="0" xfId="0" applyAlignment="1" applyBorder="1" applyFont="1">
      <alignment horizontal="center" shrinkToFit="0" vertical="center" wrapText="1"/>
    </xf>
    <xf borderId="8" fillId="6" fontId="7" numFmtId="0" xfId="0" applyAlignment="1" applyBorder="1" applyFont="1">
      <alignment horizontal="center" shrinkToFit="0" vertical="center" wrapText="1"/>
    </xf>
    <xf borderId="8" fillId="6" fontId="7" numFmtId="0" xfId="0" applyAlignment="1" applyBorder="1" applyFont="1">
      <alignment horizontal="left" shrinkToFit="0" vertical="center" wrapText="1"/>
    </xf>
    <xf borderId="8" fillId="6" fontId="27" numFmtId="0" xfId="0" applyAlignment="1" applyBorder="1" applyFont="1">
      <alignment horizontal="center" shrinkToFit="0" vertical="center" wrapText="1"/>
    </xf>
    <xf borderId="8" fillId="6" fontId="12" numFmtId="0" xfId="0" applyAlignment="1" applyBorder="1" applyFont="1">
      <alignment horizontal="left" shrinkToFit="0" vertical="center" wrapText="1"/>
    </xf>
    <xf borderId="8" fillId="6" fontId="16" numFmtId="0" xfId="0" applyAlignment="1" applyBorder="1" applyFont="1">
      <alignment horizontal="left" shrinkToFit="0" vertical="center" wrapText="1"/>
    </xf>
    <xf borderId="8" fillId="6" fontId="3" numFmtId="0" xfId="0" applyAlignment="1" applyBorder="1" applyFont="1">
      <alignment horizontal="center" readingOrder="0" shrinkToFit="0" vertical="center" wrapText="1"/>
    </xf>
    <xf borderId="8" fillId="14" fontId="7" numFmtId="0" xfId="0" applyAlignment="1" applyBorder="1" applyFill="1" applyFont="1">
      <alignment horizontal="left" shrinkToFit="0" vertical="center" wrapText="1"/>
    </xf>
    <xf borderId="8" fillId="6" fontId="29" numFmtId="49" xfId="0" applyAlignment="1" applyBorder="1" applyFont="1" applyNumberFormat="1">
      <alignment horizontal="left" shrinkToFit="0" vertical="center" wrapText="1"/>
    </xf>
    <xf borderId="8" fillId="6" fontId="12" numFmtId="0" xfId="0" applyAlignment="1" applyBorder="1" applyFont="1">
      <alignment horizontal="center" readingOrder="0" shrinkToFit="0" vertical="center" wrapText="1"/>
    </xf>
    <xf borderId="8" fillId="6" fontId="29" numFmtId="0" xfId="0" applyAlignment="1" applyBorder="1" applyFont="1">
      <alignment horizontal="left" shrinkToFit="0" vertical="center" wrapText="1"/>
    </xf>
    <xf borderId="15" fillId="6" fontId="12" numFmtId="0" xfId="0" applyAlignment="1" applyBorder="1" applyFont="1">
      <alignment horizontal="left" readingOrder="0" shrinkToFit="0" vertical="center" wrapText="1"/>
    </xf>
    <xf borderId="15" fillId="6" fontId="27" numFmtId="0" xfId="0" applyAlignment="1" applyBorder="1" applyFont="1">
      <alignment horizontal="center" readingOrder="0" shrinkToFit="0" vertical="center" wrapText="1"/>
    </xf>
    <xf borderId="8" fillId="6" fontId="8" numFmtId="0" xfId="0" applyAlignment="1" applyBorder="1" applyFont="1">
      <alignment horizontal="center" shrinkToFit="0" vertical="center" wrapText="1"/>
    </xf>
    <xf borderId="8" fillId="6" fontId="8" numFmtId="0" xfId="0" applyAlignment="1" applyBorder="1" applyFont="1">
      <alignment horizontal="left" shrinkToFit="0" vertical="center" wrapText="1"/>
    </xf>
    <xf borderId="8" fillId="6" fontId="34" numFmtId="0" xfId="0" applyAlignment="1" applyBorder="1" applyFont="1">
      <alignment horizontal="center" vertical="center"/>
    </xf>
    <xf borderId="15" fillId="6" fontId="12" numFmtId="0" xfId="0" applyAlignment="1" applyBorder="1" applyFont="1">
      <alignment readingOrder="0" shrinkToFit="0" wrapText="1"/>
    </xf>
    <xf borderId="8" fillId="6" fontId="7" numFmtId="2" xfId="0" applyAlignment="1" applyBorder="1" applyFont="1" applyNumberFormat="1">
      <alignment horizontal="center" shrinkToFit="0" vertical="center" wrapText="1"/>
    </xf>
    <xf borderId="8" fillId="6" fontId="15" numFmtId="0" xfId="0" applyAlignment="1" applyBorder="1" applyFont="1">
      <alignment horizontal="left" shrinkToFit="0" vertical="center" wrapText="1"/>
    </xf>
    <xf borderId="15" fillId="6" fontId="15" numFmtId="0" xfId="0" applyAlignment="1" applyBorder="1" applyFont="1">
      <alignment horizontal="left" readingOrder="0" shrinkToFit="0" vertical="center" wrapText="1"/>
    </xf>
    <xf borderId="8" fillId="4" fontId="27" numFmtId="0" xfId="0" applyAlignment="1" applyBorder="1" applyFont="1">
      <alignment shrinkToFit="0" vertical="center" wrapText="1"/>
    </xf>
    <xf borderId="21" fillId="6" fontId="7" numFmtId="0" xfId="0" applyAlignment="1" applyBorder="1" applyFont="1">
      <alignment horizontal="center" shrinkToFit="0" vertical="center" wrapText="1"/>
    </xf>
    <xf borderId="21" fillId="6" fontId="6" numFmtId="0" xfId="0" applyAlignment="1" applyBorder="1" applyFont="1">
      <alignment horizontal="center" shrinkToFit="0" vertical="center" wrapText="1"/>
    </xf>
    <xf borderId="21" fillId="6" fontId="17" numFmtId="0" xfId="0" applyAlignment="1" applyBorder="1" applyFont="1">
      <alignment horizontal="center" shrinkToFit="0" vertical="center" wrapText="1"/>
    </xf>
    <xf borderId="21" fillId="6" fontId="6" numFmtId="0" xfId="0" applyAlignment="1" applyBorder="1" applyFont="1">
      <alignment horizontal="left" shrinkToFit="0" vertical="center" wrapText="1"/>
    </xf>
    <xf borderId="24" fillId="6" fontId="7" numFmtId="0" xfId="0" applyAlignment="1" applyBorder="1" applyFont="1">
      <alignment horizontal="center" shrinkToFit="0" vertical="center" wrapText="1"/>
    </xf>
    <xf borderId="24" fillId="6" fontId="6" numFmtId="0" xfId="0" applyAlignment="1" applyBorder="1" applyFont="1">
      <alignment horizontal="left" readingOrder="0" shrinkToFit="0" vertical="center" wrapText="1"/>
    </xf>
    <xf borderId="8" fillId="11" fontId="16" numFmtId="0" xfId="0" applyAlignment="1" applyBorder="1" applyFont="1">
      <alignment shrinkToFit="0" vertical="center" wrapText="1"/>
    </xf>
    <xf borderId="16" fillId="15" fontId="7" numFmtId="0" xfId="0" applyAlignment="1" applyBorder="1" applyFill="1" applyFont="1">
      <alignment horizontal="center" shrinkToFit="0" vertical="center" wrapText="1"/>
    </xf>
    <xf borderId="8" fillId="11" fontId="12" numFmtId="0" xfId="0" applyAlignment="1" applyBorder="1" applyFont="1">
      <alignment horizontal="center" readingOrder="0" shrinkToFit="0" vertical="center" wrapText="1"/>
    </xf>
    <xf borderId="21" fillId="11" fontId="3" numFmtId="0" xfId="0" applyAlignment="1" applyBorder="1" applyFont="1">
      <alignment horizontal="center" shrinkToFit="0" vertical="center" wrapText="1"/>
    </xf>
    <xf borderId="21" fillId="11" fontId="6" numFmtId="0" xfId="0" applyAlignment="1" applyBorder="1" applyFont="1">
      <alignment horizontal="left" shrinkToFit="0" vertical="center" wrapText="1"/>
    </xf>
    <xf borderId="30" fillId="11" fontId="35" numFmtId="0" xfId="0" applyAlignment="1" applyBorder="1" applyFont="1">
      <alignment shrinkToFit="0" vertical="center" wrapText="1"/>
    </xf>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8" fillId="5" fontId="13" numFmtId="0" xfId="0" applyAlignment="1" applyBorder="1" applyFont="1">
      <alignment horizontal="left" shrinkToFit="0" vertical="center" wrapText="1"/>
    </xf>
    <xf borderId="36" fillId="6" fontId="7" numFmtId="0" xfId="0" applyAlignment="1" applyBorder="1" applyFont="1">
      <alignment horizontal="center" shrinkToFit="0" vertical="center" wrapText="1"/>
    </xf>
    <xf borderId="16" fillId="16" fontId="21" numFmtId="0" xfId="0" applyAlignment="1" applyBorder="1" applyFill="1" applyFont="1">
      <alignment horizontal="left" shrinkToFit="0" vertical="center" wrapText="1"/>
    </xf>
    <xf borderId="17" fillId="16" fontId="21" numFmtId="0" xfId="0" applyAlignment="1" applyBorder="1" applyFont="1">
      <alignment horizontal="left" shrinkToFit="0" vertical="center" wrapText="1"/>
    </xf>
    <xf borderId="8" fillId="16" fontId="21" numFmtId="0" xfId="0" applyAlignment="1" applyBorder="1" applyFont="1">
      <alignment horizontal="center" shrinkToFit="0" vertical="center" wrapText="1"/>
    </xf>
    <xf borderId="16" fillId="6" fontId="16" numFmtId="0" xfId="0" applyAlignment="1" applyBorder="1" applyFont="1">
      <alignment horizontal="left" shrinkToFit="0" vertical="center" wrapText="1"/>
    </xf>
    <xf borderId="8" fillId="6" fontId="6" numFmtId="0" xfId="0" applyAlignment="1" applyBorder="1" applyFont="1">
      <alignment horizontal="center" readingOrder="0" shrinkToFit="0" vertical="center" wrapText="1"/>
    </xf>
    <xf borderId="15" fillId="17" fontId="6" numFmtId="0" xfId="0" applyAlignment="1" applyBorder="1" applyFill="1" applyFont="1">
      <alignment horizontal="center" readingOrder="0" shrinkToFit="0" vertical="center" wrapText="1"/>
    </xf>
    <xf borderId="9" fillId="6" fontId="8" numFmtId="0" xfId="0" applyAlignment="1" applyBorder="1" applyFont="1">
      <alignment horizontal="center" shrinkToFit="0" vertical="center" wrapText="1"/>
    </xf>
    <xf borderId="8" fillId="2" fontId="8" numFmtId="0" xfId="0" applyAlignment="1" applyBorder="1" applyFont="1">
      <alignment shrinkToFit="0" vertical="center" wrapText="1"/>
    </xf>
    <xf borderId="8" fillId="0" fontId="10" numFmtId="0" xfId="0" applyBorder="1" applyFont="1"/>
    <xf borderId="21" fillId="6" fontId="3" numFmtId="0" xfId="0" applyAlignment="1" applyBorder="1" applyFont="1">
      <alignment horizontal="center" shrinkToFit="0" vertical="center" wrapText="1"/>
    </xf>
    <xf borderId="30" fillId="6" fontId="35" numFmtId="0" xfId="0" applyAlignment="1" applyBorder="1" applyFont="1">
      <alignment shrinkToFit="0" vertical="center" wrapText="1"/>
    </xf>
    <xf borderId="8" fillId="10" fontId="24" numFmtId="0" xfId="0" applyAlignment="1" applyBorder="1" applyFont="1">
      <alignment horizontal="center" shrinkToFit="0" vertical="center" wrapText="1"/>
    </xf>
    <xf borderId="10" fillId="11" fontId="7" numFmtId="0" xfId="0" applyAlignment="1" applyBorder="1" applyFont="1">
      <alignment horizontal="center" shrinkToFit="0" vertical="center" wrapText="1"/>
    </xf>
    <xf borderId="8" fillId="11" fontId="6" numFmtId="0" xfId="0" applyAlignment="1" applyBorder="1" applyFont="1">
      <alignment shrinkToFit="0" vertical="center" wrapText="1"/>
    </xf>
    <xf borderId="15" fillId="11" fontId="27" numFmtId="0" xfId="0" applyAlignment="1" applyBorder="1" applyFont="1">
      <alignment horizontal="center" readingOrder="0" shrinkToFit="0" vertical="center" wrapText="1"/>
    </xf>
    <xf borderId="8" fillId="18" fontId="6" numFmtId="0" xfId="0" applyAlignment="1" applyBorder="1" applyFill="1" applyFont="1">
      <alignment shrinkToFit="0" vertical="center" wrapText="1"/>
    </xf>
    <xf borderId="8" fillId="18" fontId="6" numFmtId="0" xfId="0" applyAlignment="1" applyBorder="1" applyFont="1">
      <alignment horizontal="center" shrinkToFit="0" vertical="center" wrapText="1"/>
    </xf>
    <xf borderId="8" fillId="11" fontId="18" numFmtId="49" xfId="0" applyAlignment="1" applyBorder="1" applyFont="1" applyNumberFormat="1">
      <alignment shrinkToFit="0" vertical="center" wrapText="1"/>
    </xf>
    <xf borderId="8" fillId="13" fontId="36" numFmtId="0" xfId="0" applyAlignment="1" applyBorder="1" applyFont="1">
      <alignment horizontal="center" readingOrder="0" shrinkToFit="0" vertical="center" wrapText="1"/>
    </xf>
    <xf borderId="8" fillId="11" fontId="18" numFmtId="0" xfId="0" applyAlignment="1" applyBorder="1" applyFont="1">
      <alignment shrinkToFit="0" vertical="center" wrapText="1"/>
    </xf>
    <xf borderId="8" fillId="2" fontId="6" numFmtId="0" xfId="0" applyAlignment="1" applyBorder="1" applyFont="1">
      <alignment horizontal="center" shrinkToFit="0" vertical="center" wrapText="1"/>
    </xf>
    <xf borderId="8" fillId="2" fontId="6" numFmtId="0" xfId="0" applyAlignment="1" applyBorder="1" applyFont="1">
      <alignment shrinkToFit="0" vertical="center" wrapText="1"/>
    </xf>
    <xf borderId="8" fillId="2" fontId="27" numFmtId="0" xfId="0" applyAlignment="1" applyBorder="1" applyFont="1">
      <alignment shrinkToFit="0" vertical="center" wrapText="1"/>
    </xf>
    <xf borderId="8" fillId="2" fontId="27" numFmtId="0" xfId="0" applyAlignment="1" applyBorder="1" applyFont="1">
      <alignment horizontal="left" shrinkToFit="0" vertical="center" wrapText="1"/>
    </xf>
    <xf borderId="8" fillId="6" fontId="8" numFmtId="0" xfId="0" applyAlignment="1" applyBorder="1" applyFont="1">
      <alignment horizontal="center" vertical="center"/>
    </xf>
    <xf borderId="16" fillId="19" fontId="6" numFmtId="0" xfId="0" applyAlignment="1" applyBorder="1" applyFill="1" applyFont="1">
      <alignment horizontal="left" shrinkToFit="0" vertical="center" wrapText="1"/>
    </xf>
    <xf borderId="17" fillId="19" fontId="6" numFmtId="0" xfId="0" applyAlignment="1" applyBorder="1" applyFont="1">
      <alignment horizontal="left" shrinkToFit="0" vertical="center" wrapText="1"/>
    </xf>
    <xf borderId="8" fillId="19" fontId="27" numFmtId="0" xfId="0" applyAlignment="1" applyBorder="1" applyFont="1">
      <alignment horizontal="center" shrinkToFit="0" vertical="center" wrapText="1"/>
    </xf>
    <xf borderId="8" fillId="19" fontId="12" numFmtId="0" xfId="0" applyAlignment="1" applyBorder="1" applyFont="1">
      <alignment horizontal="center" shrinkToFit="0" vertical="center" wrapText="1"/>
    </xf>
    <xf borderId="15" fillId="6" fontId="6" numFmtId="0" xfId="0" applyAlignment="1" applyBorder="1" applyFont="1">
      <alignment horizontal="center" readingOrder="0" shrinkToFit="0" vertical="center" wrapText="1"/>
    </xf>
    <xf borderId="30" fillId="6" fontId="35" numFmtId="0" xfId="0" applyAlignment="1" applyBorder="1" applyFont="1">
      <alignment shrinkToFit="0" vertical="center" wrapText="1"/>
    </xf>
    <xf borderId="8" fillId="11" fontId="3" numFmtId="0" xfId="0" applyAlignment="1" applyBorder="1" applyFont="1">
      <alignment shrinkToFit="0" vertical="center" wrapText="1"/>
    </xf>
    <xf borderId="37" fillId="11" fontId="6" numFmtId="0" xfId="0" applyAlignment="1" applyBorder="1" applyFont="1">
      <alignment horizontal="center" readingOrder="0" shrinkToFit="0" vertical="center" wrapText="1"/>
    </xf>
    <xf borderId="15" fillId="11" fontId="6" numFmtId="0" xfId="0" applyAlignment="1" applyBorder="1" applyFont="1">
      <alignment horizontal="center" readingOrder="0" shrinkToFit="0" vertical="center" wrapText="1"/>
    </xf>
    <xf borderId="8" fillId="11" fontId="6" numFmtId="0" xfId="0" applyAlignment="1" applyBorder="1" applyFont="1">
      <alignment horizontal="center" readingOrder="0" shrinkToFit="0" vertical="center" wrapText="1"/>
    </xf>
    <xf borderId="8" fillId="11" fontId="31" numFmtId="0" xfId="0" applyAlignment="1" applyBorder="1" applyFont="1">
      <alignment horizontal="center" shrinkToFit="0" vertical="center" wrapText="1"/>
    </xf>
    <xf borderId="8" fillId="2" fontId="22" numFmtId="0" xfId="0" applyAlignment="1" applyBorder="1" applyFont="1">
      <alignment horizontal="center" vertical="center"/>
    </xf>
    <xf borderId="21" fillId="11" fontId="6" numFmtId="0" xfId="0" applyAlignment="1" applyBorder="1" applyFont="1">
      <alignment horizontal="center" shrinkToFit="0" vertical="center" wrapText="1"/>
    </xf>
    <xf borderId="30" fillId="11" fontId="35" numFmtId="0" xfId="0" applyAlignment="1" applyBorder="1" applyFont="1">
      <alignment readingOrder="0" shrinkToFit="0" wrapText="1"/>
    </xf>
    <xf borderId="10" fillId="6" fontId="8" numFmtId="0" xfId="0" applyAlignment="1" applyBorder="1" applyFont="1">
      <alignment horizontal="center" shrinkToFit="0" vertical="center" wrapText="1"/>
    </xf>
    <xf borderId="8" fillId="20" fontId="13" numFmtId="0" xfId="0" applyAlignment="1" applyBorder="1" applyFill="1" applyFont="1">
      <alignment horizontal="center" shrinkToFit="0" vertical="center" wrapText="1"/>
    </xf>
    <xf borderId="8" fillId="20" fontId="13" numFmtId="0" xfId="0" applyAlignment="1" applyBorder="1" applyFont="1">
      <alignment shrinkToFit="0" vertical="center" wrapText="1"/>
    </xf>
    <xf borderId="8" fillId="20" fontId="24" numFmtId="0" xfId="0" applyAlignment="1" applyBorder="1" applyFont="1">
      <alignment horizontal="left" shrinkToFit="0" vertical="center" wrapText="1"/>
    </xf>
    <xf borderId="8" fillId="11" fontId="6" numFmtId="0" xfId="0" applyAlignment="1" applyBorder="1" applyFont="1">
      <alignment horizontal="left" shrinkToFit="0" vertical="center" wrapText="1"/>
    </xf>
    <xf borderId="8" fillId="0" fontId="37" numFmtId="0" xfId="0" applyAlignment="1" applyBorder="1" applyFont="1">
      <alignment shrinkToFit="0" vertical="center" wrapText="1"/>
    </xf>
    <xf borderId="8" fillId="2" fontId="37" numFmtId="0" xfId="0" applyAlignment="1" applyBorder="1" applyFont="1">
      <alignment shrinkToFit="0" vertical="center" wrapText="1"/>
    </xf>
    <xf borderId="8" fillId="0" fontId="12" numFmtId="0" xfId="0" applyAlignment="1" applyBorder="1" applyFont="1">
      <alignment horizontal="right" shrinkToFit="0" vertical="center" wrapText="1"/>
    </xf>
    <xf borderId="7" fillId="21" fontId="38" numFmtId="0" xfId="0" applyAlignment="1" applyBorder="1" applyFill="1" applyFont="1">
      <alignment horizontal="center" vertical="center"/>
    </xf>
    <xf borderId="15" fillId="0" fontId="6" numFmtId="0" xfId="0" applyAlignment="1" applyBorder="1" applyFont="1">
      <alignment horizontal="center" vertical="center"/>
    </xf>
    <xf borderId="15" fillId="21" fontId="13" numFmtId="0" xfId="0" applyAlignment="1" applyBorder="1" applyFont="1">
      <alignment horizontal="center" vertical="center"/>
    </xf>
    <xf borderId="0" fillId="0" fontId="7" numFmtId="10" xfId="0" applyAlignment="1" applyFont="1" applyNumberFormat="1">
      <alignment horizontal="center" vertical="center"/>
    </xf>
    <xf borderId="7" fillId="22" fontId="21" numFmtId="0" xfId="0" applyAlignment="1" applyBorder="1" applyFill="1" applyFont="1">
      <alignment horizontal="center" vertical="center"/>
    </xf>
    <xf borderId="15" fillId="2" fontId="6" numFmtId="0" xfId="0" applyAlignment="1" applyBorder="1" applyFont="1">
      <alignment horizontal="center" vertical="center"/>
    </xf>
    <xf borderId="7" fillId="23" fontId="21" numFmtId="0" xfId="0" applyAlignment="1" applyBorder="1" applyFill="1" applyFont="1">
      <alignment horizontal="center" vertical="center"/>
    </xf>
    <xf borderId="7" fillId="24" fontId="21" numFmtId="0" xfId="0" applyAlignment="1" applyBorder="1" applyFill="1" applyFont="1">
      <alignment horizontal="center" vertical="center"/>
    </xf>
    <xf borderId="7" fillId="25" fontId="21" numFmtId="0" xfId="0" applyAlignment="1" applyBorder="1" applyFill="1" applyFont="1">
      <alignment horizontal="center" vertical="center"/>
    </xf>
    <xf borderId="7" fillId="26" fontId="21" numFmtId="0" xfId="0" applyAlignment="1" applyBorder="1" applyFill="1" applyFont="1">
      <alignment horizontal="center" vertical="center"/>
    </xf>
    <xf borderId="7" fillId="27" fontId="21" numFmtId="0" xfId="0" applyAlignment="1" applyBorder="1" applyFill="1" applyFont="1">
      <alignment horizontal="center" vertical="center"/>
    </xf>
    <xf borderId="0" fillId="0" fontId="6" numFmtId="0" xfId="0" applyAlignment="1" applyFont="1">
      <alignment horizontal="center" vertical="center"/>
    </xf>
    <xf borderId="38" fillId="21" fontId="39" numFmtId="0" xfId="0" applyAlignment="1" applyBorder="1" applyFont="1">
      <alignment horizontal="center" shrinkToFit="0" vertical="center" wrapText="1"/>
    </xf>
    <xf borderId="39" fillId="0" fontId="2" numFmtId="0" xfId="0" applyBorder="1" applyFont="1"/>
    <xf borderId="40" fillId="0" fontId="2" numFmtId="0" xfId="0" applyBorder="1" applyFont="1"/>
    <xf borderId="7" fillId="21" fontId="13" numFmtId="0" xfId="0" applyAlignment="1" applyBorder="1" applyFont="1">
      <alignment horizontal="center" vertical="center"/>
    </xf>
    <xf borderId="7" fillId="2" fontId="40" numFmtId="0" xfId="0" applyBorder="1" applyFont="1"/>
    <xf borderId="41" fillId="0" fontId="2" numFmtId="0" xfId="0" applyBorder="1" applyFont="1"/>
    <xf borderId="42" fillId="0" fontId="2" numFmtId="0" xfId="0" applyBorder="1" applyFont="1"/>
    <xf borderId="15" fillId="0" fontId="3" numFmtId="0" xfId="0" applyAlignment="1" applyBorder="1" applyFont="1">
      <alignment horizontal="center" vertical="center"/>
    </xf>
    <xf borderId="15" fillId="2" fontId="7" numFmtId="0" xfId="0" applyAlignment="1" applyBorder="1" applyFont="1">
      <alignment horizontal="center" vertical="center"/>
    </xf>
    <xf borderId="43" fillId="0" fontId="2" numFmtId="0" xfId="0" applyBorder="1" applyFont="1"/>
    <xf borderId="44" fillId="0" fontId="2" numFmtId="0" xfId="0" applyBorder="1" applyFont="1"/>
    <xf borderId="45" fillId="0" fontId="2" numFmtId="0" xfId="0" applyBorder="1" applyFont="1"/>
    <xf borderId="0" fillId="0" fontId="6" numFmtId="10" xfId="0" applyAlignment="1" applyFont="1" applyNumberFormat="1">
      <alignment horizontal="center" vertical="center"/>
    </xf>
    <xf borderId="0" fillId="0" fontId="3" numFmtId="10" xfId="0" applyAlignment="1" applyFont="1" applyNumberFormat="1">
      <alignment horizontal="center" vertical="center"/>
    </xf>
  </cellXfs>
  <cellStyles count="1">
    <cellStyle xfId="0" name="Normal" builtinId="0"/>
  </cellStyles>
  <dxfs count="16">
    <dxf>
      <font/>
      <fill>
        <patternFill patternType="solid">
          <fgColor rgb="FFB7E1CD"/>
          <bgColor rgb="FFB7E1CD"/>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FFFFFF"/>
      </font>
      <fill>
        <patternFill patternType="solid">
          <fgColor rgb="FFD8D8D8"/>
          <bgColor rgb="FFD8D8D8"/>
        </patternFill>
      </fill>
      <border/>
    </dxf>
    <dxf>
      <font>
        <color rgb="FFFFFFFF"/>
      </font>
      <fill>
        <patternFill patternType="solid">
          <fgColor rgb="FFEA4335"/>
          <bgColor rgb="FFEA4335"/>
        </patternFill>
      </fill>
      <border/>
    </dxf>
    <dxf>
      <font>
        <color rgb="FFFFFFFF"/>
      </font>
      <fill>
        <patternFill patternType="solid">
          <fgColor theme="6"/>
          <bgColor theme="6"/>
        </patternFill>
      </fill>
      <border/>
    </dxf>
    <dxf>
      <font>
        <color rgb="FFFFFFFF"/>
      </font>
      <fill>
        <patternFill patternType="solid">
          <fgColor theme="8"/>
          <bgColor theme="8"/>
        </patternFill>
      </fill>
      <border/>
    </dxf>
    <dxf>
      <font>
        <color rgb="FFFFFFFF"/>
      </font>
      <fill>
        <patternFill patternType="solid">
          <fgColor theme="4"/>
          <bgColor theme="4"/>
        </patternFill>
      </fill>
      <border/>
    </dxf>
    <dxf>
      <font>
        <color rgb="FFFFFFFF"/>
      </font>
      <fill>
        <patternFill patternType="solid">
          <fgColor rgb="FF34A853"/>
          <bgColor rgb="FF34A853"/>
        </patternFill>
      </fill>
      <border/>
    </dxf>
    <dxf>
      <font>
        <color theme="0"/>
      </font>
      <fill>
        <patternFill patternType="solid">
          <fgColor rgb="FFD8D8D8"/>
          <bgColor rgb="FFD8D8D8"/>
        </patternFill>
      </fill>
      <border/>
    </dxf>
    <dxf>
      <font>
        <color theme="0"/>
      </font>
      <fill>
        <patternFill patternType="solid">
          <fgColor theme="5"/>
          <bgColor theme="5"/>
        </patternFill>
      </fill>
      <border/>
    </dxf>
    <dxf>
      <font>
        <color theme="0"/>
      </font>
      <fill>
        <patternFill patternType="solid">
          <fgColor theme="6"/>
          <bgColor theme="6"/>
        </patternFill>
      </fill>
      <border/>
    </dxf>
    <dxf>
      <font>
        <color theme="0"/>
      </font>
      <fill>
        <patternFill patternType="solid">
          <fgColor theme="8"/>
          <bgColor theme="8"/>
        </patternFill>
      </fill>
      <border/>
    </dxf>
    <dxf>
      <font>
        <color theme="0"/>
      </font>
      <fill>
        <patternFill patternType="solid">
          <fgColor theme="4"/>
          <bgColor theme="4"/>
        </patternFill>
      </fill>
      <border/>
    </dxf>
    <dxf>
      <font>
        <color theme="0"/>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13"/>
    <col customWidth="1" min="2" max="3" width="9.63"/>
    <col customWidth="1" min="4" max="18" width="10.63"/>
  </cols>
  <sheetData>
    <row r="1" ht="15.75" customHeight="1">
      <c r="B1" s="1"/>
      <c r="C1" s="2"/>
      <c r="D1" s="2"/>
      <c r="E1" s="2"/>
      <c r="F1" s="2"/>
      <c r="G1" s="2"/>
      <c r="H1" s="2"/>
      <c r="I1" s="2"/>
      <c r="J1" s="2"/>
      <c r="K1" s="2"/>
      <c r="L1" s="2"/>
      <c r="M1" s="3"/>
      <c r="N1" s="4"/>
      <c r="O1" s="4"/>
      <c r="P1" s="4"/>
      <c r="Q1" s="4"/>
      <c r="R1" s="4"/>
    </row>
    <row r="2" ht="21.0" customHeight="1">
      <c r="B2" s="5" t="s">
        <v>0</v>
      </c>
      <c r="C2" s="2"/>
      <c r="D2" s="2"/>
      <c r="E2" s="2"/>
      <c r="F2" s="2"/>
      <c r="G2" s="2"/>
      <c r="H2" s="2"/>
      <c r="I2" s="2"/>
      <c r="J2" s="2"/>
      <c r="K2" s="2"/>
      <c r="L2" s="2"/>
      <c r="M2" s="3"/>
      <c r="N2" s="4"/>
      <c r="O2" s="4"/>
      <c r="P2" s="4"/>
      <c r="Q2" s="4"/>
      <c r="R2" s="4"/>
    </row>
    <row r="3" ht="18.0" customHeight="1">
      <c r="B3" s="6" t="s">
        <v>1</v>
      </c>
      <c r="N3" s="4"/>
      <c r="O3" s="4"/>
      <c r="P3" s="4"/>
      <c r="Q3" s="4"/>
      <c r="R3" s="4"/>
    </row>
    <row r="4" ht="12.75" customHeight="1">
      <c r="B4" s="4"/>
      <c r="C4" s="4"/>
      <c r="D4" s="4"/>
      <c r="E4" s="4"/>
      <c r="F4" s="4"/>
      <c r="G4" s="4"/>
      <c r="H4" s="4"/>
      <c r="I4" s="4"/>
      <c r="J4" s="4"/>
      <c r="K4" s="4"/>
      <c r="L4" s="4"/>
      <c r="M4" s="4"/>
      <c r="N4" s="4"/>
      <c r="O4" s="4"/>
      <c r="P4" s="4"/>
      <c r="Q4" s="4"/>
      <c r="R4" s="4"/>
    </row>
    <row r="5" ht="12.75" customHeight="1">
      <c r="B5" s="4"/>
      <c r="C5" s="4"/>
      <c r="D5" s="4"/>
      <c r="E5" s="4"/>
      <c r="F5" s="4"/>
      <c r="G5" s="4"/>
      <c r="H5" s="4"/>
      <c r="I5" s="4"/>
      <c r="J5" s="4"/>
      <c r="K5" s="4"/>
      <c r="L5" s="4"/>
      <c r="M5" s="4"/>
      <c r="N5" s="4"/>
      <c r="O5" s="4"/>
      <c r="P5" s="4"/>
      <c r="Q5" s="4"/>
      <c r="R5" s="4"/>
    </row>
    <row r="6" ht="12.75" customHeight="1">
      <c r="B6" s="7" t="s">
        <v>2</v>
      </c>
      <c r="C6" s="7"/>
      <c r="D6" s="4"/>
      <c r="E6" s="4"/>
      <c r="F6" s="4"/>
      <c r="G6" s="4"/>
      <c r="H6" s="4"/>
      <c r="I6" s="4"/>
      <c r="J6" s="4"/>
      <c r="K6" s="4"/>
      <c r="L6" s="4"/>
      <c r="M6" s="4"/>
      <c r="N6" s="4"/>
      <c r="O6" s="4"/>
      <c r="P6" s="4"/>
      <c r="Q6" s="4"/>
      <c r="R6" s="4"/>
    </row>
    <row r="7" ht="12.75" customHeight="1">
      <c r="B7" s="8" t="s">
        <v>3</v>
      </c>
      <c r="O7" s="4"/>
      <c r="P7" s="4"/>
      <c r="Q7" s="4"/>
      <c r="R7" s="4"/>
    </row>
    <row r="8" ht="12.75" customHeight="1">
      <c r="O8" s="4"/>
      <c r="P8" s="4"/>
      <c r="Q8" s="4"/>
      <c r="R8" s="4"/>
    </row>
    <row r="9" ht="12.75" customHeight="1">
      <c r="O9" s="4"/>
      <c r="P9" s="4"/>
      <c r="Q9" s="4"/>
      <c r="R9" s="4"/>
    </row>
    <row r="10" ht="12.75" customHeight="1">
      <c r="O10" s="4"/>
      <c r="P10" s="4"/>
      <c r="Q10" s="4"/>
      <c r="R10" s="4"/>
    </row>
    <row r="11" ht="12.75" customHeight="1">
      <c r="O11" s="4"/>
      <c r="P11" s="4"/>
      <c r="Q11" s="4"/>
      <c r="R11" s="4"/>
    </row>
    <row r="12" ht="12.75" customHeight="1">
      <c r="O12" s="4"/>
      <c r="P12" s="4"/>
      <c r="Q12" s="4"/>
      <c r="R12" s="4"/>
    </row>
    <row r="13" ht="12.75" customHeight="1">
      <c r="O13" s="4"/>
      <c r="P13" s="4"/>
      <c r="Q13" s="4"/>
      <c r="R13" s="4"/>
    </row>
    <row r="14" ht="94.5" customHeight="1">
      <c r="O14" s="4"/>
      <c r="P14" s="4"/>
      <c r="Q14" s="4"/>
      <c r="R14" s="4"/>
    </row>
    <row r="15" ht="12.75" customHeight="1">
      <c r="B15" s="4"/>
      <c r="C15" s="4"/>
      <c r="D15" s="4"/>
      <c r="E15" s="4"/>
      <c r="F15" s="4"/>
      <c r="G15" s="4"/>
      <c r="H15" s="4"/>
      <c r="I15" s="4"/>
      <c r="J15" s="4"/>
      <c r="K15" s="4"/>
      <c r="L15" s="4"/>
      <c r="M15" s="4"/>
      <c r="N15" s="4"/>
      <c r="O15" s="4"/>
      <c r="P15" s="4"/>
      <c r="Q15" s="4"/>
      <c r="R15" s="4"/>
    </row>
    <row r="16" ht="12.75" customHeight="1">
      <c r="B16" s="7" t="s">
        <v>4</v>
      </c>
      <c r="C16" s="7"/>
      <c r="D16" s="4"/>
      <c r="E16" s="4"/>
      <c r="F16" s="4"/>
      <c r="G16" s="4"/>
      <c r="H16" s="4"/>
      <c r="I16" s="4"/>
      <c r="J16" s="4"/>
      <c r="K16" s="4"/>
      <c r="L16" s="4"/>
      <c r="M16" s="4"/>
      <c r="N16" s="4"/>
      <c r="O16" s="4"/>
      <c r="P16" s="4"/>
      <c r="Q16" s="4"/>
      <c r="R16" s="4"/>
    </row>
    <row r="17" ht="12.75" customHeight="1">
      <c r="B17" s="4" t="s">
        <v>5</v>
      </c>
      <c r="O17" s="4"/>
      <c r="P17" s="4"/>
      <c r="Q17" s="4"/>
      <c r="R17" s="4"/>
    </row>
    <row r="18" ht="12.75" customHeight="1">
      <c r="B18" s="4"/>
      <c r="C18" s="4"/>
      <c r="D18" s="4"/>
      <c r="E18" s="4"/>
      <c r="F18" s="4"/>
      <c r="G18" s="4"/>
      <c r="H18" s="4"/>
      <c r="I18" s="4"/>
      <c r="J18" s="4"/>
      <c r="K18" s="4"/>
      <c r="L18" s="4"/>
      <c r="M18" s="4"/>
      <c r="N18" s="4"/>
      <c r="O18" s="4"/>
      <c r="P18" s="4"/>
      <c r="Q18" s="4"/>
      <c r="R18" s="4"/>
    </row>
    <row r="19" ht="12.75" customHeight="1">
      <c r="B19" s="9" t="s">
        <v>6</v>
      </c>
      <c r="C19" s="10"/>
      <c r="D19" s="9" t="s">
        <v>7</v>
      </c>
      <c r="E19" s="11"/>
      <c r="F19" s="11"/>
      <c r="G19" s="11"/>
      <c r="H19" s="11"/>
      <c r="I19" s="11"/>
      <c r="J19" s="11"/>
      <c r="K19" s="11"/>
      <c r="L19" s="11"/>
      <c r="M19" s="11"/>
      <c r="N19" s="10"/>
      <c r="O19" s="4"/>
      <c r="P19" s="4"/>
      <c r="Q19" s="4"/>
      <c r="R19" s="4"/>
    </row>
    <row r="20" ht="26.25" customHeight="1">
      <c r="B20" s="12" t="s">
        <v>8</v>
      </c>
      <c r="C20" s="10"/>
      <c r="D20" s="13" t="s">
        <v>9</v>
      </c>
      <c r="E20" s="11"/>
      <c r="F20" s="11"/>
      <c r="G20" s="11"/>
      <c r="H20" s="11"/>
      <c r="I20" s="11"/>
      <c r="J20" s="11"/>
      <c r="K20" s="11"/>
      <c r="L20" s="11"/>
      <c r="M20" s="11"/>
      <c r="N20" s="10"/>
      <c r="O20" s="4"/>
      <c r="P20" s="4"/>
      <c r="Q20" s="4"/>
      <c r="R20" s="4"/>
    </row>
    <row r="21" ht="33.75" customHeight="1">
      <c r="B21" s="12" t="s">
        <v>10</v>
      </c>
      <c r="C21" s="10"/>
      <c r="D21" s="13" t="s">
        <v>11</v>
      </c>
      <c r="E21" s="11"/>
      <c r="F21" s="11"/>
      <c r="G21" s="11"/>
      <c r="H21" s="11"/>
      <c r="I21" s="11"/>
      <c r="J21" s="11"/>
      <c r="K21" s="11"/>
      <c r="L21" s="11"/>
      <c r="M21" s="11"/>
      <c r="N21" s="10"/>
      <c r="O21" s="4"/>
      <c r="P21" s="4"/>
      <c r="Q21" s="4"/>
      <c r="R21" s="4"/>
    </row>
    <row r="22" ht="42.0" customHeight="1">
      <c r="B22" s="12" t="s">
        <v>12</v>
      </c>
      <c r="C22" s="10"/>
      <c r="D22" s="13" t="s">
        <v>13</v>
      </c>
      <c r="E22" s="11"/>
      <c r="F22" s="11"/>
      <c r="G22" s="11"/>
      <c r="H22" s="11"/>
      <c r="I22" s="11"/>
      <c r="J22" s="11"/>
      <c r="K22" s="11"/>
      <c r="L22" s="11"/>
      <c r="M22" s="11"/>
      <c r="N22" s="10"/>
      <c r="O22" s="4"/>
      <c r="P22" s="4"/>
      <c r="Q22" s="4"/>
      <c r="R22" s="4"/>
    </row>
    <row r="23" ht="56.25" customHeight="1">
      <c r="B23" s="12" t="s">
        <v>14</v>
      </c>
      <c r="C23" s="10"/>
      <c r="D23" s="13" t="s">
        <v>15</v>
      </c>
      <c r="E23" s="11"/>
      <c r="F23" s="11"/>
      <c r="G23" s="11"/>
      <c r="H23" s="11"/>
      <c r="I23" s="11"/>
      <c r="J23" s="11"/>
      <c r="K23" s="11"/>
      <c r="L23" s="11"/>
      <c r="M23" s="11"/>
      <c r="N23" s="10"/>
      <c r="O23" s="4"/>
      <c r="P23" s="4"/>
      <c r="Q23" s="4"/>
      <c r="R23" s="4"/>
    </row>
    <row r="24" ht="52.5" customHeight="1">
      <c r="B24" s="12" t="s">
        <v>16</v>
      </c>
      <c r="C24" s="10"/>
      <c r="D24" s="13" t="s">
        <v>17</v>
      </c>
      <c r="E24" s="11"/>
      <c r="F24" s="11"/>
      <c r="G24" s="11"/>
      <c r="H24" s="11"/>
      <c r="I24" s="11"/>
      <c r="J24" s="11"/>
      <c r="K24" s="11"/>
      <c r="L24" s="11"/>
      <c r="M24" s="11"/>
      <c r="N24" s="10"/>
      <c r="O24" s="4"/>
      <c r="P24" s="4"/>
      <c r="Q24" s="4"/>
      <c r="R24" s="4"/>
    </row>
    <row r="25" ht="33.75" customHeight="1">
      <c r="B25" s="12" t="s">
        <v>18</v>
      </c>
      <c r="C25" s="10"/>
      <c r="D25" s="13" t="s">
        <v>19</v>
      </c>
      <c r="E25" s="11"/>
      <c r="F25" s="11"/>
      <c r="G25" s="11"/>
      <c r="H25" s="11"/>
      <c r="I25" s="11"/>
      <c r="J25" s="11"/>
      <c r="K25" s="11"/>
      <c r="L25" s="11"/>
      <c r="M25" s="11"/>
      <c r="N25" s="10"/>
      <c r="O25" s="4"/>
      <c r="P25" s="4"/>
      <c r="Q25" s="4"/>
      <c r="R25" s="4"/>
    </row>
    <row r="26" ht="33.75" customHeight="1">
      <c r="B26" s="12" t="s">
        <v>20</v>
      </c>
      <c r="C26" s="10"/>
      <c r="D26" s="13" t="s">
        <v>21</v>
      </c>
      <c r="E26" s="11"/>
      <c r="F26" s="11"/>
      <c r="G26" s="11"/>
      <c r="H26" s="11"/>
      <c r="I26" s="11"/>
      <c r="J26" s="11"/>
      <c r="K26" s="11"/>
      <c r="L26" s="11"/>
      <c r="M26" s="11"/>
      <c r="N26" s="10"/>
      <c r="O26" s="4"/>
      <c r="P26" s="4"/>
      <c r="Q26" s="4"/>
      <c r="R26" s="4"/>
    </row>
    <row r="27" ht="39.75" customHeight="1">
      <c r="B27" s="12" t="s">
        <v>22</v>
      </c>
      <c r="C27" s="10"/>
      <c r="D27" s="13" t="s">
        <v>23</v>
      </c>
      <c r="E27" s="11"/>
      <c r="F27" s="11"/>
      <c r="G27" s="11"/>
      <c r="H27" s="11"/>
      <c r="I27" s="11"/>
      <c r="J27" s="11"/>
      <c r="K27" s="11"/>
      <c r="L27" s="11"/>
      <c r="M27" s="11"/>
      <c r="N27" s="10"/>
      <c r="O27" s="4"/>
      <c r="P27" s="4"/>
      <c r="Q27" s="4"/>
      <c r="R27" s="4"/>
    </row>
    <row r="28" ht="40.5" customHeight="1">
      <c r="B28" s="12" t="s">
        <v>24</v>
      </c>
      <c r="C28" s="10"/>
      <c r="D28" s="13" t="s">
        <v>25</v>
      </c>
      <c r="E28" s="11"/>
      <c r="F28" s="11"/>
      <c r="G28" s="11"/>
      <c r="H28" s="11"/>
      <c r="I28" s="11"/>
      <c r="J28" s="11"/>
      <c r="K28" s="11"/>
      <c r="L28" s="11"/>
      <c r="M28" s="11"/>
      <c r="N28" s="10"/>
      <c r="O28" s="4"/>
      <c r="P28" s="4"/>
      <c r="Q28" s="4"/>
      <c r="R28" s="4"/>
    </row>
    <row r="29" ht="12.75" customHeight="1">
      <c r="B29" s="4"/>
      <c r="C29" s="4"/>
      <c r="D29" s="4"/>
      <c r="E29" s="4"/>
      <c r="F29" s="4"/>
      <c r="G29" s="4"/>
      <c r="H29" s="4"/>
      <c r="I29" s="4"/>
      <c r="J29" s="4"/>
      <c r="K29" s="4"/>
      <c r="L29" s="4"/>
      <c r="M29" s="4"/>
      <c r="N29" s="4"/>
      <c r="O29" s="4"/>
      <c r="P29" s="4"/>
      <c r="Q29" s="4"/>
      <c r="R29" s="4"/>
    </row>
    <row r="30" ht="12.75" customHeight="1">
      <c r="B30" s="7" t="s">
        <v>26</v>
      </c>
      <c r="C30" s="4"/>
      <c r="D30" s="4"/>
      <c r="E30" s="4"/>
      <c r="F30" s="4"/>
      <c r="G30" s="4"/>
      <c r="H30" s="4"/>
      <c r="I30" s="4"/>
      <c r="J30" s="4"/>
      <c r="K30" s="4"/>
      <c r="L30" s="4"/>
      <c r="M30" s="4"/>
      <c r="N30" s="4"/>
      <c r="O30" s="4"/>
      <c r="P30" s="4"/>
      <c r="Q30" s="4"/>
      <c r="R30" s="4"/>
    </row>
    <row r="31" ht="12.75" customHeight="1">
      <c r="B31" s="4"/>
      <c r="C31" s="4"/>
      <c r="D31" s="4"/>
      <c r="E31" s="4"/>
      <c r="F31" s="4"/>
      <c r="G31" s="4"/>
      <c r="H31" s="4"/>
      <c r="I31" s="4"/>
      <c r="J31" s="4"/>
      <c r="K31" s="4"/>
      <c r="L31" s="4"/>
      <c r="M31" s="4"/>
      <c r="N31" s="4"/>
      <c r="O31" s="4"/>
      <c r="P31" s="4"/>
      <c r="Q31" s="4"/>
      <c r="R31" s="4"/>
    </row>
    <row r="32" ht="12.75" customHeight="1">
      <c r="B32" s="4" t="s">
        <v>27</v>
      </c>
      <c r="C32" s="4"/>
      <c r="D32" s="4"/>
      <c r="E32" s="4"/>
      <c r="F32" s="4"/>
      <c r="G32" s="4"/>
      <c r="H32" s="4"/>
      <c r="I32" s="4"/>
      <c r="J32" s="4"/>
      <c r="K32" s="4"/>
      <c r="L32" s="4"/>
      <c r="M32" s="4"/>
      <c r="N32" s="4"/>
      <c r="O32" s="4"/>
      <c r="P32" s="4"/>
      <c r="Q32" s="4"/>
      <c r="R32" s="4"/>
    </row>
    <row r="33" ht="12.75" customHeight="1">
      <c r="B33" s="14" t="s">
        <v>28</v>
      </c>
      <c r="O33" s="4"/>
      <c r="P33" s="4"/>
      <c r="Q33" s="4"/>
      <c r="R33" s="4"/>
    </row>
    <row r="34" ht="12.75" customHeight="1">
      <c r="O34" s="4"/>
      <c r="P34" s="4"/>
      <c r="Q34" s="4"/>
      <c r="R34" s="4"/>
    </row>
    <row r="35" ht="12.75" customHeight="1">
      <c r="O35" s="4"/>
      <c r="P35" s="4"/>
      <c r="Q35" s="4"/>
      <c r="R35" s="4"/>
    </row>
    <row r="36" ht="12.75" customHeight="1">
      <c r="O36" s="4"/>
      <c r="P36" s="4"/>
      <c r="Q36" s="4"/>
      <c r="R36" s="4"/>
    </row>
    <row r="37" ht="12.75" customHeight="1">
      <c r="O37" s="4"/>
      <c r="P37" s="4"/>
      <c r="Q37" s="4"/>
      <c r="R37" s="4"/>
    </row>
    <row r="38" ht="12.75" customHeight="1">
      <c r="O38" s="4"/>
      <c r="P38" s="4"/>
      <c r="Q38" s="4"/>
      <c r="R38" s="4"/>
    </row>
    <row r="39" ht="12.75" customHeight="1">
      <c r="O39" s="4"/>
      <c r="P39" s="4"/>
      <c r="Q39" s="4"/>
      <c r="R39" s="4"/>
    </row>
    <row r="40" ht="12.75" customHeight="1">
      <c r="O40" s="4"/>
      <c r="P40" s="4"/>
      <c r="Q40" s="4"/>
      <c r="R40" s="4"/>
    </row>
    <row r="41" ht="12.75" customHeight="1">
      <c r="B41" s="4"/>
      <c r="C41" s="4"/>
      <c r="D41" s="4"/>
      <c r="E41" s="4"/>
      <c r="F41" s="4"/>
      <c r="G41" s="4"/>
      <c r="H41" s="4"/>
      <c r="I41" s="4"/>
      <c r="J41" s="4"/>
      <c r="K41" s="4"/>
      <c r="L41" s="4"/>
      <c r="M41" s="4"/>
      <c r="N41" s="4"/>
      <c r="O41" s="4"/>
      <c r="P41" s="4"/>
      <c r="Q41" s="4"/>
      <c r="R41" s="4"/>
    </row>
    <row r="42" ht="12.75" customHeight="1">
      <c r="B42" s="15" t="s">
        <v>29</v>
      </c>
      <c r="C42" s="4"/>
      <c r="D42" s="4"/>
      <c r="E42" s="4"/>
      <c r="F42" s="4"/>
      <c r="G42" s="4"/>
      <c r="H42" s="4"/>
      <c r="I42" s="4"/>
      <c r="J42" s="4"/>
      <c r="K42" s="4"/>
      <c r="L42" s="4"/>
      <c r="M42" s="4"/>
      <c r="N42" s="4"/>
      <c r="O42" s="4"/>
      <c r="P42" s="4"/>
      <c r="Q42" s="4"/>
      <c r="R42" s="4"/>
    </row>
    <row r="43" ht="12.75" customHeight="1">
      <c r="B43" s="14" t="s">
        <v>30</v>
      </c>
      <c r="O43" s="4"/>
      <c r="P43" s="4"/>
      <c r="Q43" s="4"/>
      <c r="R43" s="4"/>
    </row>
    <row r="44" ht="12.75" customHeight="1">
      <c r="O44" s="4"/>
      <c r="P44" s="4"/>
      <c r="Q44" s="4"/>
      <c r="R44" s="4"/>
    </row>
    <row r="45" ht="43.5" customHeight="1">
      <c r="O45" s="4"/>
      <c r="P45" s="4"/>
      <c r="Q45" s="4"/>
      <c r="R45" s="4"/>
    </row>
    <row r="46" ht="12.75" customHeight="1">
      <c r="B46" s="4"/>
      <c r="C46" s="4"/>
      <c r="D46" s="4"/>
      <c r="E46" s="4"/>
      <c r="F46" s="4"/>
      <c r="G46" s="4"/>
      <c r="H46" s="4"/>
      <c r="I46" s="4"/>
      <c r="J46" s="4"/>
      <c r="K46" s="4"/>
      <c r="L46" s="4"/>
      <c r="M46" s="4"/>
      <c r="N46" s="4"/>
      <c r="O46" s="4"/>
      <c r="P46" s="4"/>
      <c r="Q46" s="4"/>
      <c r="R46" s="4"/>
    </row>
    <row r="47" ht="12.75" customHeight="1">
      <c r="B47" s="15" t="s">
        <v>31</v>
      </c>
      <c r="C47" s="4"/>
      <c r="D47" s="4"/>
      <c r="E47" s="4"/>
      <c r="F47" s="4"/>
      <c r="G47" s="4"/>
      <c r="H47" s="4"/>
      <c r="I47" s="4"/>
      <c r="J47" s="4"/>
      <c r="K47" s="4"/>
      <c r="L47" s="4"/>
      <c r="M47" s="4"/>
      <c r="N47" s="4"/>
      <c r="O47" s="4"/>
      <c r="P47" s="4"/>
      <c r="Q47" s="4"/>
      <c r="R47" s="4"/>
    </row>
    <row r="48" ht="12.75" customHeight="1">
      <c r="B48" s="16" t="s">
        <v>32</v>
      </c>
      <c r="O48" s="4"/>
      <c r="P48" s="4"/>
      <c r="Q48" s="4"/>
      <c r="R48" s="4"/>
    </row>
    <row r="49" ht="12.75" customHeight="1">
      <c r="O49" s="4"/>
      <c r="P49" s="4"/>
      <c r="Q49" s="4"/>
      <c r="R49" s="4"/>
    </row>
    <row r="50" ht="28.5" customHeight="1">
      <c r="O50" s="4"/>
      <c r="P50" s="4"/>
      <c r="Q50" s="4"/>
      <c r="R50" s="4"/>
    </row>
    <row r="51" ht="12.75" customHeight="1">
      <c r="B51" s="4"/>
      <c r="C51" s="4"/>
      <c r="D51" s="4"/>
      <c r="E51" s="4"/>
      <c r="F51" s="4"/>
      <c r="G51" s="4"/>
      <c r="H51" s="4"/>
      <c r="I51" s="4"/>
      <c r="J51" s="4"/>
      <c r="K51" s="4"/>
      <c r="L51" s="4"/>
      <c r="M51" s="4"/>
      <c r="N51" s="4"/>
      <c r="O51" s="4"/>
      <c r="P51" s="4"/>
      <c r="Q51" s="4"/>
      <c r="R51" s="4"/>
    </row>
    <row r="52" ht="12.75" customHeight="1">
      <c r="B52" s="15" t="s">
        <v>33</v>
      </c>
      <c r="C52" s="4"/>
      <c r="D52" s="4"/>
      <c r="E52" s="4"/>
      <c r="F52" s="4"/>
      <c r="G52" s="4"/>
      <c r="H52" s="4"/>
      <c r="I52" s="4"/>
      <c r="J52" s="4"/>
      <c r="K52" s="4"/>
      <c r="L52" s="4"/>
      <c r="M52" s="4"/>
      <c r="N52" s="4"/>
      <c r="O52" s="4"/>
      <c r="P52" s="4"/>
      <c r="Q52" s="4"/>
      <c r="R52" s="4"/>
    </row>
    <row r="53" ht="72.75" customHeight="1">
      <c r="B53" s="14" t="s">
        <v>34</v>
      </c>
      <c r="O53" s="4"/>
      <c r="P53" s="4"/>
      <c r="Q53" s="4"/>
      <c r="R53" s="4"/>
    </row>
    <row r="54" ht="12.75" customHeight="1">
      <c r="B54" s="4"/>
      <c r="C54" s="4"/>
      <c r="D54" s="4"/>
      <c r="E54" s="4"/>
      <c r="F54" s="4"/>
      <c r="G54" s="4"/>
      <c r="H54" s="4"/>
      <c r="I54" s="4"/>
      <c r="J54" s="4"/>
      <c r="K54" s="4"/>
      <c r="L54" s="4"/>
      <c r="M54" s="4"/>
      <c r="N54" s="4"/>
      <c r="O54" s="4"/>
      <c r="P54" s="4"/>
      <c r="Q54" s="4"/>
      <c r="R54" s="4"/>
    </row>
    <row r="55" ht="12.75" customHeight="1">
      <c r="B55" s="15" t="s">
        <v>35</v>
      </c>
      <c r="C55" s="4"/>
      <c r="D55" s="4"/>
      <c r="E55" s="4"/>
      <c r="F55" s="4"/>
      <c r="G55" s="4"/>
      <c r="H55" s="4"/>
      <c r="I55" s="4"/>
      <c r="J55" s="4"/>
      <c r="K55" s="4"/>
      <c r="L55" s="4"/>
      <c r="M55" s="4"/>
      <c r="N55" s="4"/>
      <c r="O55" s="4"/>
      <c r="P55" s="4"/>
      <c r="Q55" s="4"/>
      <c r="R55" s="4"/>
    </row>
    <row r="56" ht="12.75" customHeight="1">
      <c r="B56" s="4" t="s">
        <v>36</v>
      </c>
      <c r="C56" s="4"/>
      <c r="D56" s="4"/>
      <c r="E56" s="4"/>
      <c r="F56" s="4"/>
      <c r="G56" s="4"/>
      <c r="H56" s="4"/>
      <c r="I56" s="4"/>
      <c r="J56" s="4"/>
      <c r="K56" s="4"/>
      <c r="L56" s="4"/>
      <c r="M56" s="4"/>
      <c r="N56" s="4"/>
      <c r="O56" s="4"/>
      <c r="P56" s="4"/>
      <c r="Q56" s="4"/>
      <c r="R56" s="4"/>
    </row>
    <row r="57" ht="12.75" customHeight="1">
      <c r="B57" s="4"/>
      <c r="C57" s="4"/>
      <c r="D57" s="4"/>
      <c r="E57" s="4"/>
      <c r="F57" s="4"/>
      <c r="G57" s="4"/>
      <c r="H57" s="4"/>
      <c r="I57" s="4"/>
      <c r="J57" s="4"/>
      <c r="K57" s="4"/>
      <c r="L57" s="4"/>
      <c r="M57" s="4"/>
      <c r="N57" s="4"/>
      <c r="O57" s="4"/>
      <c r="P57" s="4"/>
      <c r="Q57" s="4"/>
      <c r="R57" s="4"/>
    </row>
    <row r="58" ht="12.75" customHeight="1">
      <c r="B58" s="4"/>
      <c r="C58" s="4"/>
      <c r="D58" s="4"/>
      <c r="E58" s="4"/>
      <c r="F58" s="4"/>
      <c r="G58" s="4"/>
      <c r="H58" s="4"/>
      <c r="I58" s="4"/>
      <c r="J58" s="4"/>
      <c r="K58" s="4"/>
      <c r="L58" s="4"/>
      <c r="M58" s="4"/>
      <c r="N58" s="4"/>
      <c r="O58" s="4"/>
      <c r="P58" s="4"/>
      <c r="Q58" s="4"/>
      <c r="R58" s="4"/>
    </row>
    <row r="59" ht="21.0" customHeight="1">
      <c r="B59" s="7" t="s">
        <v>37</v>
      </c>
      <c r="C59" s="4"/>
      <c r="D59" s="4"/>
      <c r="E59" s="4"/>
      <c r="F59" s="4"/>
      <c r="G59" s="4"/>
      <c r="H59" s="4"/>
      <c r="I59" s="4"/>
      <c r="J59" s="4"/>
      <c r="K59" s="4"/>
      <c r="L59" s="4"/>
      <c r="M59" s="4"/>
      <c r="N59" s="4"/>
      <c r="O59" s="4"/>
      <c r="P59" s="4"/>
      <c r="Q59" s="4"/>
      <c r="R59" s="4"/>
    </row>
    <row r="60" ht="27.0" customHeight="1">
      <c r="B60" s="16" t="s">
        <v>38</v>
      </c>
      <c r="O60" s="4"/>
      <c r="P60" s="4"/>
      <c r="Q60" s="4"/>
      <c r="R60" s="4"/>
    </row>
    <row r="61" ht="12.75" customHeight="1">
      <c r="O61" s="4"/>
      <c r="P61" s="4"/>
      <c r="Q61" s="4"/>
      <c r="R61" s="4"/>
    </row>
    <row r="62" ht="12.75" customHeight="1">
      <c r="O62" s="4"/>
      <c r="P62" s="4"/>
      <c r="Q62" s="4"/>
      <c r="R62" s="4"/>
    </row>
    <row r="63" ht="12.75" customHeight="1">
      <c r="O63" s="4"/>
      <c r="P63" s="4"/>
      <c r="Q63" s="4"/>
      <c r="R63" s="4"/>
    </row>
    <row r="64" ht="12.75" customHeight="1">
      <c r="O64" s="4"/>
      <c r="P64" s="4"/>
      <c r="Q64" s="4"/>
      <c r="R64" s="4"/>
    </row>
    <row r="65" ht="12.75" customHeight="1">
      <c r="O65" s="4"/>
      <c r="P65" s="4"/>
      <c r="Q65" s="4"/>
      <c r="R65" s="4"/>
    </row>
    <row r="66" ht="12.75" customHeight="1">
      <c r="O66" s="4"/>
      <c r="P66" s="4"/>
      <c r="Q66" s="4"/>
      <c r="R66" s="4"/>
    </row>
    <row r="67" ht="12.75" customHeight="1">
      <c r="O67" s="4"/>
      <c r="P67" s="4"/>
      <c r="Q67" s="4"/>
      <c r="R67" s="4"/>
    </row>
    <row r="68" ht="12.75" customHeight="1">
      <c r="O68" s="4"/>
      <c r="P68" s="4"/>
      <c r="Q68" s="4"/>
      <c r="R68" s="4"/>
    </row>
    <row r="69" ht="12.75" customHeight="1">
      <c r="O69" s="4"/>
      <c r="P69" s="4"/>
      <c r="Q69" s="4"/>
      <c r="R69" s="4"/>
    </row>
    <row r="70" ht="12.75" customHeight="1">
      <c r="O70" s="4"/>
      <c r="P70" s="4"/>
      <c r="Q70" s="4"/>
      <c r="R70" s="4"/>
    </row>
    <row r="71" ht="36.0" customHeight="1">
      <c r="O71" s="4"/>
      <c r="P71" s="4"/>
      <c r="Q71" s="4"/>
      <c r="R71" s="4"/>
    </row>
    <row r="72" ht="33.0" customHeight="1">
      <c r="B72" s="17" t="b">
        <v>0</v>
      </c>
      <c r="C72" s="18" t="s">
        <v>39</v>
      </c>
      <c r="D72" s="2"/>
      <c r="E72" s="2"/>
      <c r="F72" s="2"/>
      <c r="G72" s="2"/>
      <c r="H72" s="2"/>
      <c r="I72" s="2"/>
      <c r="J72" s="2"/>
      <c r="K72" s="2"/>
      <c r="L72" s="2"/>
      <c r="M72" s="2"/>
      <c r="N72" s="3"/>
      <c r="O72" s="4"/>
      <c r="P72" s="4"/>
      <c r="Q72" s="4"/>
      <c r="R72" s="4"/>
    </row>
    <row r="73" ht="12.75" customHeight="1">
      <c r="B73" s="4"/>
      <c r="C73" s="4"/>
      <c r="D73" s="4"/>
      <c r="E73" s="4"/>
      <c r="F73" s="4"/>
      <c r="G73" s="4"/>
      <c r="H73" s="4"/>
      <c r="I73" s="4"/>
      <c r="J73" s="4"/>
      <c r="K73" s="4"/>
      <c r="L73" s="4"/>
      <c r="M73" s="4"/>
      <c r="N73" s="4"/>
      <c r="O73" s="4"/>
      <c r="P73" s="4"/>
      <c r="Q73" s="4"/>
      <c r="R73" s="4"/>
    </row>
    <row r="74" ht="48.0" customHeight="1">
      <c r="B74" s="19" t="s">
        <v>40</v>
      </c>
      <c r="O74" s="4"/>
      <c r="P74" s="4"/>
      <c r="Q74" s="4"/>
      <c r="R74" s="4"/>
    </row>
    <row r="75" ht="12.75" customHeight="1">
      <c r="B75" s="4"/>
      <c r="C75" s="4"/>
      <c r="D75" s="4"/>
      <c r="E75" s="4"/>
      <c r="F75" s="4"/>
      <c r="G75" s="4"/>
      <c r="H75" s="4"/>
      <c r="I75" s="4"/>
      <c r="J75" s="4"/>
      <c r="K75" s="4"/>
      <c r="L75" s="4"/>
      <c r="M75" s="4"/>
      <c r="N75" s="4"/>
      <c r="O75" s="4"/>
      <c r="P75" s="4"/>
      <c r="Q75" s="4"/>
      <c r="R75" s="4"/>
    </row>
    <row r="76" ht="12.75" customHeight="1">
      <c r="B76" s="4"/>
      <c r="C76" s="4"/>
      <c r="D76" s="4"/>
      <c r="E76" s="4"/>
      <c r="F76" s="4"/>
      <c r="G76" s="4"/>
      <c r="H76" s="4"/>
      <c r="I76" s="4"/>
      <c r="J76" s="4"/>
      <c r="K76" s="4"/>
      <c r="L76" s="4"/>
      <c r="M76" s="4"/>
      <c r="N76" s="4"/>
      <c r="O76" s="4"/>
      <c r="P76" s="4"/>
      <c r="Q76" s="4"/>
      <c r="R76" s="4"/>
    </row>
    <row r="77" ht="12.75" customHeight="1">
      <c r="B77" s="4"/>
      <c r="C77" s="4"/>
      <c r="D77" s="4"/>
      <c r="E77" s="4"/>
      <c r="F77" s="4"/>
      <c r="G77" s="4"/>
      <c r="H77" s="4"/>
      <c r="I77" s="4"/>
      <c r="J77" s="4"/>
      <c r="K77" s="4"/>
      <c r="L77" s="4"/>
      <c r="M77" s="4"/>
      <c r="N77" s="4"/>
      <c r="O77" s="4"/>
      <c r="P77" s="4"/>
      <c r="Q77" s="4"/>
      <c r="R77" s="4"/>
    </row>
    <row r="78" ht="12.75" customHeight="1">
      <c r="B78" s="4"/>
      <c r="C78" s="4"/>
      <c r="D78" s="4"/>
      <c r="E78" s="4"/>
      <c r="F78" s="4"/>
      <c r="G78" s="4"/>
      <c r="H78" s="4"/>
      <c r="I78" s="4"/>
      <c r="J78" s="4"/>
      <c r="K78" s="4"/>
      <c r="L78" s="4"/>
      <c r="M78" s="4"/>
      <c r="N78" s="4"/>
      <c r="O78" s="4"/>
      <c r="P78" s="4"/>
      <c r="Q78" s="4"/>
      <c r="R78" s="4"/>
    </row>
    <row r="79" ht="12.75" customHeight="1">
      <c r="B79" s="4"/>
      <c r="C79" s="4"/>
      <c r="D79" s="4"/>
      <c r="E79" s="4"/>
      <c r="F79" s="4"/>
      <c r="G79" s="4"/>
      <c r="H79" s="4"/>
      <c r="I79" s="4"/>
      <c r="J79" s="4"/>
      <c r="K79" s="4"/>
      <c r="L79" s="4"/>
      <c r="M79" s="4"/>
      <c r="N79" s="4"/>
      <c r="O79" s="4"/>
      <c r="P79" s="4"/>
      <c r="Q79" s="4"/>
      <c r="R79" s="4"/>
    </row>
    <row r="80" ht="12.75" customHeight="1">
      <c r="B80" s="4"/>
      <c r="C80" s="4"/>
      <c r="D80" s="4"/>
      <c r="E80" s="4"/>
      <c r="F80" s="4"/>
      <c r="G80" s="4"/>
      <c r="H80" s="4"/>
      <c r="I80" s="4"/>
      <c r="J80" s="4"/>
      <c r="K80" s="4"/>
      <c r="L80" s="4"/>
      <c r="M80" s="4"/>
      <c r="N80" s="4"/>
      <c r="O80" s="4"/>
      <c r="P80" s="4"/>
      <c r="Q80" s="4"/>
      <c r="R80" s="4"/>
    </row>
    <row r="81" ht="12.75" customHeight="1">
      <c r="B81" s="4"/>
      <c r="C81" s="4"/>
      <c r="D81" s="4"/>
      <c r="E81" s="4"/>
      <c r="F81" s="4"/>
      <c r="G81" s="4"/>
      <c r="H81" s="4"/>
      <c r="I81" s="4"/>
      <c r="J81" s="4"/>
      <c r="K81" s="4"/>
      <c r="L81" s="4"/>
      <c r="M81" s="4"/>
      <c r="N81" s="4"/>
      <c r="O81" s="4"/>
      <c r="P81" s="4"/>
      <c r="Q81" s="4"/>
      <c r="R81" s="4"/>
    </row>
    <row r="82" ht="12.75" customHeight="1">
      <c r="B82" s="4"/>
      <c r="C82" s="4"/>
      <c r="D82" s="4"/>
      <c r="E82" s="4"/>
      <c r="F82" s="4"/>
      <c r="G82" s="4"/>
      <c r="H82" s="4"/>
      <c r="I82" s="4"/>
      <c r="J82" s="4"/>
      <c r="K82" s="4"/>
      <c r="L82" s="4"/>
      <c r="M82" s="4"/>
      <c r="N82" s="4"/>
      <c r="O82" s="4"/>
      <c r="P82" s="4"/>
      <c r="Q82" s="4"/>
      <c r="R82" s="4"/>
    </row>
    <row r="83" ht="12.75" customHeight="1">
      <c r="B83" s="4"/>
      <c r="C83" s="4"/>
      <c r="D83" s="4"/>
      <c r="E83" s="4"/>
      <c r="F83" s="4"/>
      <c r="G83" s="4"/>
      <c r="H83" s="4"/>
      <c r="I83" s="4"/>
      <c r="J83" s="4"/>
      <c r="K83" s="4"/>
      <c r="L83" s="4"/>
      <c r="M83" s="4"/>
      <c r="N83" s="4"/>
      <c r="O83" s="4"/>
      <c r="P83" s="4"/>
      <c r="Q83" s="4"/>
      <c r="R83" s="4"/>
    </row>
    <row r="84" ht="12.75" customHeight="1">
      <c r="B84" s="4"/>
      <c r="C84" s="4"/>
      <c r="D84" s="4"/>
      <c r="E84" s="4"/>
      <c r="F84" s="4"/>
      <c r="G84" s="4"/>
      <c r="H84" s="4"/>
      <c r="I84" s="4"/>
      <c r="J84" s="4"/>
      <c r="K84" s="4"/>
      <c r="L84" s="4"/>
      <c r="M84" s="4"/>
      <c r="N84" s="4"/>
      <c r="O84" s="4"/>
      <c r="P84" s="4"/>
      <c r="Q84" s="4"/>
      <c r="R84" s="4"/>
    </row>
    <row r="85" ht="12.75" customHeight="1">
      <c r="B85" s="4"/>
      <c r="C85" s="4"/>
      <c r="D85" s="4"/>
      <c r="E85" s="4"/>
      <c r="F85" s="4"/>
      <c r="G85" s="4"/>
      <c r="H85" s="4"/>
      <c r="I85" s="4"/>
      <c r="J85" s="4"/>
      <c r="K85" s="4"/>
      <c r="L85" s="4"/>
      <c r="M85" s="4"/>
      <c r="N85" s="4"/>
      <c r="O85" s="4"/>
      <c r="P85" s="4"/>
      <c r="Q85" s="4"/>
      <c r="R85" s="4"/>
    </row>
    <row r="86" ht="12.75" customHeight="1">
      <c r="B86" s="4"/>
      <c r="C86" s="4"/>
      <c r="D86" s="4"/>
      <c r="E86" s="4"/>
      <c r="F86" s="4"/>
      <c r="G86" s="4"/>
      <c r="H86" s="4"/>
      <c r="I86" s="4"/>
      <c r="J86" s="4"/>
      <c r="K86" s="4"/>
      <c r="L86" s="4"/>
      <c r="M86" s="4"/>
      <c r="N86" s="4"/>
      <c r="O86" s="4"/>
      <c r="P86" s="4"/>
      <c r="Q86" s="4"/>
      <c r="R86" s="4"/>
    </row>
    <row r="87" ht="12.75" customHeight="1">
      <c r="B87" s="4"/>
      <c r="C87" s="4"/>
      <c r="D87" s="4"/>
      <c r="E87" s="4"/>
      <c r="F87" s="4"/>
      <c r="G87" s="4"/>
      <c r="H87" s="4"/>
      <c r="I87" s="4"/>
      <c r="J87" s="4"/>
      <c r="K87" s="4"/>
      <c r="L87" s="4"/>
      <c r="M87" s="4"/>
      <c r="N87" s="4"/>
      <c r="O87" s="4"/>
      <c r="P87" s="4"/>
      <c r="Q87" s="4"/>
      <c r="R87" s="4"/>
    </row>
    <row r="88" ht="12.75" customHeight="1">
      <c r="B88" s="4"/>
      <c r="C88" s="4"/>
      <c r="D88" s="4"/>
      <c r="E88" s="4"/>
      <c r="F88" s="4"/>
      <c r="G88" s="4"/>
      <c r="H88" s="4"/>
      <c r="I88" s="4"/>
      <c r="J88" s="4"/>
      <c r="K88" s="4"/>
      <c r="L88" s="4"/>
      <c r="M88" s="4"/>
      <c r="N88" s="4"/>
      <c r="O88" s="4"/>
      <c r="P88" s="4"/>
      <c r="Q88" s="4"/>
      <c r="R88" s="4"/>
    </row>
    <row r="89" ht="12.75" customHeight="1">
      <c r="B89" s="4"/>
      <c r="C89" s="4"/>
      <c r="D89" s="4"/>
      <c r="E89" s="4"/>
      <c r="F89" s="4"/>
      <c r="G89" s="4"/>
      <c r="H89" s="4"/>
      <c r="I89" s="4"/>
      <c r="J89" s="4"/>
      <c r="K89" s="4"/>
      <c r="L89" s="4"/>
      <c r="M89" s="4"/>
      <c r="N89" s="4"/>
      <c r="O89" s="4"/>
      <c r="P89" s="4"/>
      <c r="Q89" s="4"/>
      <c r="R89" s="4"/>
    </row>
    <row r="90" ht="12.75" customHeight="1">
      <c r="B90" s="4"/>
      <c r="C90" s="4"/>
      <c r="D90" s="4"/>
      <c r="E90" s="4"/>
      <c r="F90" s="4"/>
      <c r="G90" s="4"/>
      <c r="H90" s="4"/>
      <c r="I90" s="4"/>
      <c r="J90" s="4"/>
      <c r="K90" s="4"/>
      <c r="L90" s="4"/>
      <c r="M90" s="4"/>
      <c r="N90" s="4"/>
      <c r="O90" s="4"/>
      <c r="P90" s="4"/>
      <c r="Q90" s="4"/>
      <c r="R90" s="4"/>
    </row>
    <row r="91" ht="12.75" customHeight="1">
      <c r="B91" s="4"/>
      <c r="C91" s="4"/>
      <c r="D91" s="4"/>
      <c r="E91" s="4"/>
      <c r="F91" s="4"/>
      <c r="G91" s="4"/>
      <c r="H91" s="4"/>
      <c r="I91" s="4"/>
      <c r="J91" s="4"/>
      <c r="K91" s="4"/>
      <c r="L91" s="4"/>
      <c r="M91" s="4"/>
      <c r="N91" s="4"/>
      <c r="O91" s="4"/>
      <c r="P91" s="4"/>
      <c r="Q91" s="4"/>
      <c r="R91" s="4"/>
    </row>
    <row r="92" ht="12.75" customHeight="1">
      <c r="B92" s="4"/>
      <c r="C92" s="4"/>
      <c r="D92" s="4"/>
      <c r="E92" s="4"/>
      <c r="F92" s="4"/>
      <c r="G92" s="4"/>
      <c r="H92" s="4"/>
      <c r="I92" s="4"/>
      <c r="J92" s="4"/>
      <c r="K92" s="4"/>
      <c r="L92" s="4"/>
      <c r="M92" s="4"/>
      <c r="N92" s="4"/>
      <c r="O92" s="4"/>
      <c r="P92" s="4"/>
      <c r="Q92" s="4"/>
      <c r="R92" s="4"/>
    </row>
    <row r="93" ht="12.75" customHeight="1">
      <c r="B93" s="4"/>
      <c r="C93" s="4"/>
      <c r="D93" s="4"/>
      <c r="E93" s="4"/>
      <c r="F93" s="4"/>
      <c r="G93" s="4"/>
      <c r="H93" s="4"/>
      <c r="I93" s="4"/>
      <c r="J93" s="4"/>
      <c r="K93" s="4"/>
      <c r="L93" s="4"/>
      <c r="M93" s="4"/>
      <c r="N93" s="4"/>
      <c r="O93" s="4"/>
      <c r="P93" s="4"/>
      <c r="Q93" s="4"/>
      <c r="R93" s="4"/>
    </row>
    <row r="94" ht="12.75" customHeight="1">
      <c r="B94" s="4"/>
      <c r="C94" s="4"/>
      <c r="D94" s="4"/>
      <c r="E94" s="4"/>
      <c r="F94" s="4"/>
      <c r="G94" s="4"/>
      <c r="H94" s="4"/>
      <c r="I94" s="4"/>
      <c r="J94" s="4"/>
      <c r="K94" s="4"/>
      <c r="L94" s="4"/>
      <c r="M94" s="4"/>
      <c r="N94" s="4"/>
      <c r="O94" s="4"/>
      <c r="P94" s="4"/>
      <c r="Q94" s="4"/>
      <c r="R94" s="4"/>
    </row>
    <row r="95" ht="12.75" customHeight="1">
      <c r="B95" s="4"/>
      <c r="C95" s="4"/>
      <c r="D95" s="4"/>
      <c r="E95" s="4"/>
      <c r="F95" s="4"/>
      <c r="G95" s="4"/>
      <c r="H95" s="4"/>
      <c r="I95" s="4"/>
      <c r="J95" s="4"/>
      <c r="K95" s="4"/>
      <c r="L95" s="4"/>
      <c r="M95" s="4"/>
      <c r="N95" s="4"/>
      <c r="O95" s="4"/>
      <c r="P95" s="4"/>
      <c r="Q95" s="4"/>
      <c r="R95" s="4"/>
    </row>
    <row r="96" ht="12.75" customHeight="1">
      <c r="B96" s="4"/>
      <c r="C96" s="4"/>
      <c r="D96" s="4"/>
      <c r="E96" s="4"/>
      <c r="F96" s="4"/>
      <c r="G96" s="4"/>
      <c r="H96" s="4"/>
      <c r="I96" s="4"/>
      <c r="J96" s="4"/>
      <c r="K96" s="4"/>
      <c r="L96" s="4"/>
      <c r="M96" s="4"/>
      <c r="N96" s="4"/>
      <c r="O96" s="4"/>
      <c r="P96" s="4"/>
      <c r="Q96" s="4"/>
      <c r="R96" s="4"/>
    </row>
    <row r="97" ht="12.75" customHeight="1">
      <c r="B97" s="4"/>
      <c r="C97" s="4"/>
      <c r="D97" s="4"/>
      <c r="E97" s="4"/>
      <c r="F97" s="4"/>
      <c r="G97" s="4"/>
      <c r="H97" s="4"/>
      <c r="I97" s="4"/>
      <c r="J97" s="4"/>
      <c r="K97" s="4"/>
      <c r="L97" s="4"/>
      <c r="M97" s="4"/>
      <c r="N97" s="4"/>
      <c r="O97" s="4"/>
      <c r="P97" s="4"/>
      <c r="Q97" s="4"/>
      <c r="R97" s="4"/>
    </row>
    <row r="98" ht="12.75" customHeight="1">
      <c r="B98" s="4"/>
      <c r="C98" s="4"/>
      <c r="D98" s="4"/>
      <c r="E98" s="4"/>
      <c r="F98" s="4"/>
      <c r="G98" s="4"/>
      <c r="H98" s="4"/>
      <c r="I98" s="4"/>
      <c r="J98" s="4"/>
      <c r="K98" s="4"/>
      <c r="L98" s="4"/>
      <c r="M98" s="4"/>
      <c r="N98" s="4"/>
      <c r="O98" s="4"/>
      <c r="P98" s="4"/>
      <c r="Q98" s="4"/>
      <c r="R98" s="4"/>
    </row>
    <row r="99" ht="12.75" customHeight="1">
      <c r="B99" s="4"/>
      <c r="C99" s="4"/>
      <c r="D99" s="4"/>
      <c r="E99" s="4"/>
      <c r="F99" s="4"/>
      <c r="G99" s="4"/>
      <c r="H99" s="4"/>
      <c r="I99" s="4"/>
      <c r="J99" s="4"/>
      <c r="K99" s="4"/>
      <c r="L99" s="4"/>
      <c r="M99" s="4"/>
      <c r="N99" s="4"/>
      <c r="O99" s="4"/>
      <c r="P99" s="4"/>
      <c r="Q99" s="4"/>
      <c r="R99" s="4"/>
    </row>
    <row r="100" ht="12.75" customHeight="1">
      <c r="B100" s="4"/>
      <c r="C100" s="4"/>
      <c r="D100" s="4"/>
      <c r="E100" s="4"/>
      <c r="F100" s="4"/>
      <c r="G100" s="4"/>
      <c r="H100" s="4"/>
      <c r="I100" s="4"/>
      <c r="J100" s="4"/>
      <c r="K100" s="4"/>
      <c r="L100" s="4"/>
      <c r="M100" s="4"/>
      <c r="N100" s="4"/>
      <c r="O100" s="4"/>
      <c r="P100" s="4"/>
      <c r="Q100" s="4"/>
      <c r="R100" s="4"/>
    </row>
    <row r="101" ht="12.75" customHeight="1">
      <c r="B101" s="4"/>
      <c r="C101" s="4"/>
      <c r="D101" s="4"/>
      <c r="E101" s="4"/>
      <c r="F101" s="4"/>
      <c r="G101" s="4"/>
      <c r="H101" s="4"/>
      <c r="I101" s="4"/>
      <c r="J101" s="4"/>
      <c r="K101" s="4"/>
      <c r="L101" s="4"/>
      <c r="M101" s="4"/>
      <c r="N101" s="4"/>
      <c r="O101" s="4"/>
      <c r="P101" s="4"/>
      <c r="Q101" s="4"/>
      <c r="R101" s="4"/>
    </row>
    <row r="102" ht="12.75" customHeight="1">
      <c r="B102" s="4"/>
      <c r="C102" s="4"/>
      <c r="D102" s="4"/>
      <c r="E102" s="4"/>
      <c r="F102" s="4"/>
      <c r="G102" s="4"/>
      <c r="H102" s="4"/>
      <c r="I102" s="4"/>
      <c r="J102" s="4"/>
      <c r="K102" s="4"/>
      <c r="L102" s="4"/>
      <c r="M102" s="4"/>
      <c r="N102" s="4"/>
      <c r="O102" s="4"/>
      <c r="P102" s="4"/>
      <c r="Q102" s="4"/>
      <c r="R102" s="4"/>
    </row>
    <row r="103" ht="12.75" customHeight="1">
      <c r="B103" s="4"/>
      <c r="C103" s="4"/>
      <c r="D103" s="4"/>
      <c r="E103" s="4"/>
      <c r="F103" s="4"/>
      <c r="G103" s="4"/>
      <c r="H103" s="4"/>
      <c r="I103" s="4"/>
      <c r="J103" s="4"/>
      <c r="K103" s="4"/>
      <c r="L103" s="4"/>
      <c r="M103" s="4"/>
      <c r="N103" s="4"/>
      <c r="O103" s="4"/>
      <c r="P103" s="4"/>
      <c r="Q103" s="4"/>
      <c r="R103" s="4"/>
    </row>
    <row r="104" ht="12.75" customHeight="1">
      <c r="B104" s="4"/>
      <c r="C104" s="4"/>
      <c r="D104" s="4"/>
      <c r="E104" s="4"/>
      <c r="F104" s="4"/>
      <c r="G104" s="4"/>
      <c r="H104" s="4"/>
      <c r="I104" s="4"/>
      <c r="J104" s="4"/>
      <c r="K104" s="4"/>
      <c r="L104" s="4"/>
      <c r="M104" s="4"/>
      <c r="N104" s="4"/>
      <c r="O104" s="4"/>
      <c r="P104" s="4"/>
      <c r="Q104" s="4"/>
      <c r="R104" s="4"/>
    </row>
    <row r="105" ht="12.75" customHeight="1">
      <c r="B105" s="4"/>
      <c r="C105" s="4"/>
      <c r="D105" s="4"/>
      <c r="E105" s="4"/>
      <c r="F105" s="4"/>
      <c r="G105" s="4"/>
      <c r="H105" s="4"/>
      <c r="I105" s="4"/>
      <c r="J105" s="4"/>
      <c r="K105" s="4"/>
      <c r="L105" s="4"/>
      <c r="M105" s="4"/>
      <c r="N105" s="4"/>
      <c r="O105" s="4"/>
      <c r="P105" s="4"/>
      <c r="Q105" s="4"/>
      <c r="R105" s="4"/>
    </row>
    <row r="106" ht="12.75" customHeight="1">
      <c r="B106" s="4"/>
      <c r="C106" s="4"/>
      <c r="D106" s="4"/>
      <c r="E106" s="4"/>
      <c r="F106" s="4"/>
      <c r="G106" s="4"/>
      <c r="H106" s="4"/>
      <c r="I106" s="4"/>
      <c r="J106" s="4"/>
      <c r="K106" s="4"/>
      <c r="L106" s="4"/>
      <c r="M106" s="4"/>
      <c r="N106" s="4"/>
      <c r="O106" s="4"/>
      <c r="P106" s="4"/>
      <c r="Q106" s="4"/>
      <c r="R106" s="4"/>
    </row>
    <row r="107" ht="12.75" customHeight="1">
      <c r="B107" s="4"/>
      <c r="C107" s="4"/>
      <c r="D107" s="4"/>
      <c r="E107" s="4"/>
      <c r="F107" s="4"/>
      <c r="G107" s="4"/>
      <c r="H107" s="4"/>
      <c r="I107" s="4"/>
      <c r="J107" s="4"/>
      <c r="K107" s="4"/>
      <c r="L107" s="4"/>
      <c r="M107" s="4"/>
      <c r="N107" s="4"/>
      <c r="O107" s="4"/>
      <c r="P107" s="4"/>
      <c r="Q107" s="4"/>
      <c r="R107" s="4"/>
    </row>
    <row r="108" ht="12.75" customHeight="1">
      <c r="B108" s="4"/>
      <c r="C108" s="4"/>
      <c r="D108" s="4"/>
      <c r="E108" s="4"/>
      <c r="F108" s="4"/>
      <c r="G108" s="4"/>
      <c r="H108" s="4"/>
      <c r="I108" s="4"/>
      <c r="J108" s="4"/>
      <c r="K108" s="4"/>
      <c r="L108" s="4"/>
      <c r="M108" s="4"/>
      <c r="N108" s="4"/>
      <c r="O108" s="4"/>
      <c r="P108" s="4"/>
      <c r="Q108" s="4"/>
      <c r="R108" s="4"/>
    </row>
    <row r="109" ht="12.75" customHeight="1">
      <c r="B109" s="4"/>
      <c r="C109" s="4"/>
      <c r="D109" s="4"/>
      <c r="E109" s="4"/>
      <c r="F109" s="4"/>
      <c r="G109" s="4"/>
      <c r="H109" s="4"/>
      <c r="I109" s="4"/>
      <c r="J109" s="4"/>
      <c r="K109" s="4"/>
      <c r="L109" s="4"/>
      <c r="M109" s="4"/>
      <c r="N109" s="4"/>
      <c r="O109" s="4"/>
      <c r="P109" s="4"/>
      <c r="Q109" s="4"/>
      <c r="R109" s="4"/>
    </row>
    <row r="110" ht="12.75" customHeight="1">
      <c r="B110" s="4"/>
      <c r="C110" s="4"/>
      <c r="D110" s="4"/>
      <c r="E110" s="4"/>
      <c r="F110" s="4"/>
      <c r="G110" s="4"/>
      <c r="H110" s="4"/>
      <c r="I110" s="4"/>
      <c r="J110" s="4"/>
      <c r="K110" s="4"/>
      <c r="L110" s="4"/>
      <c r="M110" s="4"/>
      <c r="N110" s="4"/>
      <c r="O110" s="4"/>
      <c r="P110" s="4"/>
      <c r="Q110" s="4"/>
      <c r="R110" s="4"/>
    </row>
    <row r="111" ht="12.75" customHeight="1">
      <c r="B111" s="4"/>
      <c r="C111" s="4"/>
      <c r="D111" s="4"/>
      <c r="E111" s="4"/>
      <c r="F111" s="4"/>
      <c r="G111" s="4"/>
      <c r="H111" s="4"/>
      <c r="I111" s="4"/>
      <c r="J111" s="4"/>
      <c r="K111" s="4"/>
      <c r="L111" s="4"/>
      <c r="M111" s="4"/>
      <c r="N111" s="4"/>
      <c r="O111" s="4"/>
      <c r="P111" s="4"/>
      <c r="Q111" s="4"/>
      <c r="R111" s="4"/>
    </row>
    <row r="112" ht="12.75" customHeight="1">
      <c r="B112" s="4"/>
      <c r="C112" s="4"/>
      <c r="D112" s="4"/>
      <c r="E112" s="4"/>
      <c r="F112" s="4"/>
      <c r="G112" s="4"/>
      <c r="H112" s="4"/>
      <c r="I112" s="4"/>
      <c r="J112" s="4"/>
      <c r="K112" s="4"/>
      <c r="L112" s="4"/>
      <c r="M112" s="4"/>
      <c r="N112" s="4"/>
      <c r="O112" s="4"/>
      <c r="P112" s="4"/>
      <c r="Q112" s="4"/>
      <c r="R112" s="4"/>
    </row>
    <row r="113" ht="12.75" customHeight="1">
      <c r="B113" s="4"/>
      <c r="C113" s="4"/>
      <c r="D113" s="4"/>
      <c r="E113" s="4"/>
      <c r="F113" s="4"/>
      <c r="G113" s="4"/>
      <c r="H113" s="4"/>
      <c r="I113" s="4"/>
      <c r="J113" s="4"/>
      <c r="K113" s="4"/>
      <c r="L113" s="4"/>
      <c r="M113" s="4"/>
      <c r="N113" s="4"/>
      <c r="O113" s="4"/>
      <c r="P113" s="4"/>
      <c r="Q113" s="4"/>
      <c r="R113" s="4"/>
    </row>
    <row r="114" ht="12.75" customHeight="1">
      <c r="B114" s="4"/>
      <c r="C114" s="4"/>
      <c r="D114" s="4"/>
      <c r="E114" s="4"/>
      <c r="F114" s="4"/>
      <c r="G114" s="4"/>
      <c r="H114" s="4"/>
      <c r="I114" s="4"/>
      <c r="J114" s="4"/>
      <c r="K114" s="4"/>
      <c r="L114" s="4"/>
      <c r="M114" s="4"/>
      <c r="N114" s="4"/>
      <c r="O114" s="4"/>
      <c r="P114" s="4"/>
      <c r="Q114" s="4"/>
      <c r="R114" s="4"/>
    </row>
    <row r="115" ht="12.75" customHeight="1">
      <c r="B115" s="4"/>
      <c r="C115" s="4"/>
      <c r="D115" s="4"/>
      <c r="E115" s="4"/>
      <c r="F115" s="4"/>
      <c r="G115" s="4"/>
      <c r="H115" s="4"/>
      <c r="I115" s="4"/>
      <c r="J115" s="4"/>
      <c r="K115" s="4"/>
      <c r="L115" s="4"/>
      <c r="M115" s="4"/>
      <c r="N115" s="4"/>
      <c r="O115" s="4"/>
      <c r="P115" s="4"/>
      <c r="Q115" s="4"/>
      <c r="R115" s="4"/>
    </row>
    <row r="116" ht="12.75" customHeight="1">
      <c r="B116" s="4"/>
      <c r="C116" s="4"/>
      <c r="D116" s="4"/>
      <c r="E116" s="4"/>
      <c r="F116" s="4"/>
      <c r="G116" s="4"/>
      <c r="H116" s="4"/>
      <c r="I116" s="4"/>
      <c r="J116" s="4"/>
      <c r="K116" s="4"/>
      <c r="L116" s="4"/>
      <c r="M116" s="4"/>
      <c r="N116" s="4"/>
      <c r="O116" s="4"/>
      <c r="P116" s="4"/>
      <c r="Q116" s="4"/>
      <c r="R116" s="4"/>
    </row>
    <row r="117" ht="12.75" customHeight="1">
      <c r="B117" s="4"/>
      <c r="C117" s="4"/>
      <c r="D117" s="4"/>
      <c r="E117" s="4"/>
      <c r="F117" s="4"/>
      <c r="G117" s="4"/>
      <c r="H117" s="4"/>
      <c r="I117" s="4"/>
      <c r="J117" s="4"/>
      <c r="K117" s="4"/>
      <c r="L117" s="4"/>
      <c r="M117" s="4"/>
      <c r="N117" s="4"/>
      <c r="O117" s="4"/>
      <c r="P117" s="4"/>
      <c r="Q117" s="4"/>
      <c r="R117" s="4"/>
    </row>
    <row r="118" ht="12.75" customHeight="1">
      <c r="B118" s="4"/>
      <c r="C118" s="4"/>
      <c r="D118" s="4"/>
      <c r="E118" s="4"/>
      <c r="F118" s="4"/>
      <c r="G118" s="4"/>
      <c r="H118" s="4"/>
      <c r="I118" s="4"/>
      <c r="J118" s="4"/>
      <c r="K118" s="4"/>
      <c r="L118" s="4"/>
      <c r="M118" s="4"/>
      <c r="N118" s="4"/>
      <c r="O118" s="4"/>
      <c r="P118" s="4"/>
      <c r="Q118" s="4"/>
      <c r="R118" s="4"/>
    </row>
    <row r="119" ht="12.75" customHeight="1">
      <c r="B119" s="4"/>
      <c r="C119" s="4"/>
      <c r="D119" s="4"/>
      <c r="E119" s="4"/>
      <c r="F119" s="4"/>
      <c r="G119" s="4"/>
      <c r="H119" s="4"/>
      <c r="I119" s="4"/>
      <c r="J119" s="4"/>
      <c r="K119" s="4"/>
      <c r="L119" s="4"/>
      <c r="M119" s="4"/>
      <c r="N119" s="4"/>
      <c r="O119" s="4"/>
      <c r="P119" s="4"/>
      <c r="Q119" s="4"/>
      <c r="R119" s="4"/>
    </row>
    <row r="120" ht="12.75" customHeight="1">
      <c r="B120" s="4"/>
      <c r="C120" s="4"/>
      <c r="D120" s="4"/>
      <c r="E120" s="4"/>
      <c r="F120" s="4"/>
      <c r="G120" s="4"/>
      <c r="H120" s="4"/>
      <c r="I120" s="4"/>
      <c r="J120" s="4"/>
      <c r="K120" s="4"/>
      <c r="L120" s="4"/>
      <c r="M120" s="4"/>
      <c r="N120" s="4"/>
      <c r="O120" s="4"/>
      <c r="P120" s="4"/>
      <c r="Q120" s="4"/>
      <c r="R120" s="4"/>
    </row>
    <row r="121" ht="12.75" customHeight="1">
      <c r="B121" s="4"/>
      <c r="C121" s="4"/>
      <c r="D121" s="4"/>
      <c r="E121" s="4"/>
      <c r="F121" s="4"/>
      <c r="G121" s="4"/>
      <c r="H121" s="4"/>
      <c r="I121" s="4"/>
      <c r="J121" s="4"/>
      <c r="K121" s="4"/>
      <c r="L121" s="4"/>
      <c r="M121" s="4"/>
      <c r="N121" s="4"/>
      <c r="O121" s="4"/>
      <c r="P121" s="4"/>
      <c r="Q121" s="4"/>
      <c r="R121" s="4"/>
    </row>
    <row r="122" ht="12.75" customHeight="1">
      <c r="B122" s="4"/>
      <c r="C122" s="4"/>
      <c r="D122" s="4"/>
      <c r="E122" s="4"/>
      <c r="F122" s="4"/>
      <c r="G122" s="4"/>
      <c r="H122" s="4"/>
      <c r="I122" s="4"/>
      <c r="J122" s="4"/>
      <c r="K122" s="4"/>
      <c r="L122" s="4"/>
      <c r="M122" s="4"/>
      <c r="N122" s="4"/>
      <c r="O122" s="4"/>
      <c r="P122" s="4"/>
      <c r="Q122" s="4"/>
      <c r="R122" s="4"/>
    </row>
    <row r="123" ht="12.75" customHeight="1">
      <c r="B123" s="4"/>
      <c r="C123" s="4"/>
      <c r="D123" s="4"/>
      <c r="E123" s="4"/>
      <c r="F123" s="4"/>
      <c r="G123" s="4"/>
      <c r="H123" s="4"/>
      <c r="I123" s="4"/>
      <c r="J123" s="4"/>
      <c r="K123" s="4"/>
      <c r="L123" s="4"/>
      <c r="M123" s="4"/>
      <c r="N123" s="4"/>
      <c r="O123" s="4"/>
      <c r="P123" s="4"/>
      <c r="Q123" s="4"/>
      <c r="R123" s="4"/>
    </row>
    <row r="124" ht="12.75" customHeight="1">
      <c r="B124" s="4"/>
      <c r="C124" s="4"/>
      <c r="D124" s="4"/>
      <c r="E124" s="4"/>
      <c r="F124" s="4"/>
      <c r="G124" s="4"/>
      <c r="H124" s="4"/>
      <c r="I124" s="4"/>
      <c r="J124" s="4"/>
      <c r="K124" s="4"/>
      <c r="L124" s="4"/>
      <c r="M124" s="4"/>
      <c r="N124" s="4"/>
      <c r="O124" s="4"/>
      <c r="P124" s="4"/>
      <c r="Q124" s="4"/>
      <c r="R124" s="4"/>
    </row>
    <row r="125" ht="12.75" customHeight="1">
      <c r="B125" s="4"/>
      <c r="C125" s="4"/>
      <c r="D125" s="4"/>
      <c r="E125" s="4"/>
      <c r="F125" s="4"/>
      <c r="G125" s="4"/>
      <c r="H125" s="4"/>
      <c r="I125" s="4"/>
      <c r="J125" s="4"/>
      <c r="K125" s="4"/>
      <c r="L125" s="4"/>
      <c r="M125" s="4"/>
      <c r="N125" s="4"/>
      <c r="O125" s="4"/>
      <c r="P125" s="4"/>
      <c r="Q125" s="4"/>
      <c r="R125" s="4"/>
    </row>
    <row r="126" ht="12.75" customHeight="1">
      <c r="B126" s="4"/>
      <c r="C126" s="4"/>
      <c r="D126" s="4"/>
      <c r="E126" s="4"/>
      <c r="F126" s="4"/>
      <c r="G126" s="4"/>
      <c r="H126" s="4"/>
      <c r="I126" s="4"/>
      <c r="J126" s="4"/>
      <c r="K126" s="4"/>
      <c r="L126" s="4"/>
      <c r="M126" s="4"/>
      <c r="N126" s="4"/>
      <c r="O126" s="4"/>
      <c r="P126" s="4"/>
      <c r="Q126" s="4"/>
      <c r="R126" s="4"/>
    </row>
    <row r="127" ht="12.75" customHeight="1">
      <c r="B127" s="4"/>
      <c r="C127" s="4"/>
      <c r="D127" s="4"/>
      <c r="E127" s="4"/>
      <c r="F127" s="4"/>
      <c r="G127" s="4"/>
      <c r="H127" s="4"/>
      <c r="I127" s="4"/>
      <c r="J127" s="4"/>
      <c r="K127" s="4"/>
      <c r="L127" s="4"/>
      <c r="M127" s="4"/>
      <c r="N127" s="4"/>
      <c r="O127" s="4"/>
      <c r="P127" s="4"/>
      <c r="Q127" s="4"/>
      <c r="R127" s="4"/>
    </row>
    <row r="128" ht="12.75" customHeight="1">
      <c r="B128" s="4"/>
      <c r="C128" s="4"/>
      <c r="D128" s="4"/>
      <c r="E128" s="4"/>
      <c r="F128" s="4"/>
      <c r="G128" s="4"/>
      <c r="H128" s="4"/>
      <c r="I128" s="4"/>
      <c r="J128" s="4"/>
      <c r="K128" s="4"/>
      <c r="L128" s="4"/>
      <c r="M128" s="4"/>
      <c r="N128" s="4"/>
      <c r="O128" s="4"/>
      <c r="P128" s="4"/>
      <c r="Q128" s="4"/>
      <c r="R128" s="4"/>
    </row>
    <row r="129" ht="12.75" customHeight="1">
      <c r="B129" s="4"/>
      <c r="C129" s="4"/>
      <c r="D129" s="4"/>
      <c r="E129" s="4"/>
      <c r="F129" s="4"/>
      <c r="G129" s="4"/>
      <c r="H129" s="4"/>
      <c r="I129" s="4"/>
      <c r="J129" s="4"/>
      <c r="K129" s="4"/>
      <c r="L129" s="4"/>
      <c r="M129" s="4"/>
      <c r="N129" s="4"/>
      <c r="O129" s="4"/>
      <c r="P129" s="4"/>
      <c r="Q129" s="4"/>
      <c r="R129" s="4"/>
    </row>
    <row r="130" ht="12.75" customHeight="1">
      <c r="B130" s="4"/>
      <c r="C130" s="4"/>
      <c r="D130" s="4"/>
      <c r="E130" s="4"/>
      <c r="F130" s="4"/>
      <c r="G130" s="4"/>
      <c r="H130" s="4"/>
      <c r="I130" s="4"/>
      <c r="J130" s="4"/>
      <c r="K130" s="4"/>
      <c r="L130" s="4"/>
      <c r="M130" s="4"/>
      <c r="N130" s="4"/>
      <c r="O130" s="4"/>
      <c r="P130" s="4"/>
      <c r="Q130" s="4"/>
      <c r="R130" s="4"/>
    </row>
    <row r="131" ht="12.75" customHeight="1">
      <c r="B131" s="4"/>
      <c r="C131" s="4"/>
      <c r="D131" s="4"/>
      <c r="E131" s="4"/>
      <c r="F131" s="4"/>
      <c r="G131" s="4"/>
      <c r="H131" s="4"/>
      <c r="I131" s="4"/>
      <c r="J131" s="4"/>
      <c r="K131" s="4"/>
      <c r="L131" s="4"/>
      <c r="M131" s="4"/>
      <c r="N131" s="4"/>
      <c r="O131" s="4"/>
      <c r="P131" s="4"/>
      <c r="Q131" s="4"/>
      <c r="R131" s="4"/>
    </row>
    <row r="132" ht="12.75" customHeight="1">
      <c r="B132" s="4"/>
      <c r="C132" s="4"/>
      <c r="D132" s="4"/>
      <c r="E132" s="4"/>
      <c r="F132" s="4"/>
      <c r="G132" s="4"/>
      <c r="H132" s="4"/>
      <c r="I132" s="4"/>
      <c r="J132" s="4"/>
      <c r="K132" s="4"/>
      <c r="L132" s="4"/>
      <c r="M132" s="4"/>
      <c r="N132" s="4"/>
      <c r="O132" s="4"/>
      <c r="P132" s="4"/>
      <c r="Q132" s="4"/>
      <c r="R132" s="4"/>
    </row>
    <row r="133" ht="12.75" customHeight="1">
      <c r="B133" s="4"/>
      <c r="C133" s="4"/>
      <c r="D133" s="4"/>
      <c r="E133" s="4"/>
      <c r="F133" s="4"/>
      <c r="G133" s="4"/>
      <c r="H133" s="4"/>
      <c r="I133" s="4"/>
      <c r="J133" s="4"/>
      <c r="K133" s="4"/>
      <c r="L133" s="4"/>
      <c r="M133" s="4"/>
      <c r="N133" s="4"/>
      <c r="O133" s="4"/>
      <c r="P133" s="4"/>
      <c r="Q133" s="4"/>
      <c r="R133" s="4"/>
    </row>
    <row r="134" ht="12.75" customHeight="1">
      <c r="B134" s="4"/>
      <c r="C134" s="4"/>
      <c r="D134" s="4"/>
      <c r="E134" s="4"/>
      <c r="F134" s="4"/>
      <c r="G134" s="4"/>
      <c r="H134" s="4"/>
      <c r="I134" s="4"/>
      <c r="J134" s="4"/>
      <c r="K134" s="4"/>
      <c r="L134" s="4"/>
      <c r="M134" s="4"/>
      <c r="N134" s="4"/>
      <c r="O134" s="4"/>
      <c r="P134" s="4"/>
      <c r="Q134" s="4"/>
      <c r="R134" s="4"/>
    </row>
    <row r="135" ht="12.75" customHeight="1">
      <c r="B135" s="4"/>
      <c r="C135" s="4"/>
      <c r="D135" s="4"/>
      <c r="E135" s="4"/>
      <c r="F135" s="4"/>
      <c r="G135" s="4"/>
      <c r="H135" s="4"/>
      <c r="I135" s="4"/>
      <c r="J135" s="4"/>
      <c r="K135" s="4"/>
      <c r="L135" s="4"/>
      <c r="M135" s="4"/>
      <c r="N135" s="4"/>
      <c r="O135" s="4"/>
      <c r="P135" s="4"/>
      <c r="Q135" s="4"/>
      <c r="R135" s="4"/>
    </row>
    <row r="136" ht="12.75" customHeight="1">
      <c r="B136" s="4"/>
      <c r="C136" s="4"/>
      <c r="D136" s="4"/>
      <c r="E136" s="4"/>
      <c r="F136" s="4"/>
      <c r="G136" s="4"/>
      <c r="H136" s="4"/>
      <c r="I136" s="4"/>
      <c r="J136" s="4"/>
      <c r="K136" s="4"/>
      <c r="L136" s="4"/>
      <c r="M136" s="4"/>
      <c r="N136" s="4"/>
      <c r="O136" s="4"/>
      <c r="P136" s="4"/>
      <c r="Q136" s="4"/>
      <c r="R136" s="4"/>
    </row>
    <row r="137" ht="12.75" customHeight="1">
      <c r="B137" s="4"/>
      <c r="C137" s="4"/>
      <c r="D137" s="4"/>
      <c r="E137" s="4"/>
      <c r="F137" s="4"/>
      <c r="G137" s="4"/>
      <c r="H137" s="4"/>
      <c r="I137" s="4"/>
      <c r="J137" s="4"/>
      <c r="K137" s="4"/>
      <c r="L137" s="4"/>
      <c r="M137" s="4"/>
      <c r="N137" s="4"/>
      <c r="O137" s="4"/>
      <c r="P137" s="4"/>
      <c r="Q137" s="4"/>
      <c r="R137" s="4"/>
    </row>
    <row r="138" ht="12.75" customHeight="1">
      <c r="B138" s="4"/>
      <c r="C138" s="4"/>
      <c r="D138" s="4"/>
      <c r="E138" s="4"/>
      <c r="F138" s="4"/>
      <c r="G138" s="4"/>
      <c r="H138" s="4"/>
      <c r="I138" s="4"/>
      <c r="J138" s="4"/>
      <c r="K138" s="4"/>
      <c r="L138" s="4"/>
      <c r="M138" s="4"/>
      <c r="N138" s="4"/>
      <c r="O138" s="4"/>
      <c r="P138" s="4"/>
      <c r="Q138" s="4"/>
      <c r="R138" s="4"/>
    </row>
    <row r="139" ht="12.75" customHeight="1">
      <c r="B139" s="4"/>
      <c r="C139" s="4"/>
      <c r="D139" s="4"/>
      <c r="E139" s="4"/>
      <c r="F139" s="4"/>
      <c r="G139" s="4"/>
      <c r="H139" s="4"/>
      <c r="I139" s="4"/>
      <c r="J139" s="4"/>
      <c r="K139" s="4"/>
      <c r="L139" s="4"/>
      <c r="M139" s="4"/>
      <c r="N139" s="4"/>
      <c r="O139" s="4"/>
      <c r="P139" s="4"/>
      <c r="Q139" s="4"/>
      <c r="R139" s="4"/>
    </row>
    <row r="140" ht="12.75" customHeight="1">
      <c r="B140" s="4"/>
      <c r="C140" s="4"/>
      <c r="D140" s="4"/>
      <c r="E140" s="4"/>
      <c r="F140" s="4"/>
      <c r="G140" s="4"/>
      <c r="H140" s="4"/>
      <c r="I140" s="4"/>
      <c r="J140" s="4"/>
      <c r="K140" s="4"/>
      <c r="L140" s="4"/>
      <c r="M140" s="4"/>
      <c r="N140" s="4"/>
      <c r="O140" s="4"/>
      <c r="P140" s="4"/>
      <c r="Q140" s="4"/>
      <c r="R140" s="4"/>
    </row>
    <row r="141" ht="12.75" customHeight="1">
      <c r="B141" s="4"/>
      <c r="C141" s="4"/>
      <c r="D141" s="4"/>
      <c r="E141" s="4"/>
      <c r="F141" s="4"/>
      <c r="G141" s="4"/>
      <c r="H141" s="4"/>
      <c r="I141" s="4"/>
      <c r="J141" s="4"/>
      <c r="K141" s="4"/>
      <c r="L141" s="4"/>
      <c r="M141" s="4"/>
      <c r="N141" s="4"/>
      <c r="O141" s="4"/>
      <c r="P141" s="4"/>
      <c r="Q141" s="4"/>
      <c r="R141" s="4"/>
    </row>
    <row r="142" ht="12.75" customHeight="1">
      <c r="B142" s="4"/>
      <c r="C142" s="4"/>
      <c r="D142" s="4"/>
      <c r="E142" s="4"/>
      <c r="F142" s="4"/>
      <c r="G142" s="4"/>
      <c r="H142" s="4"/>
      <c r="I142" s="4"/>
      <c r="J142" s="4"/>
      <c r="K142" s="4"/>
      <c r="L142" s="4"/>
      <c r="M142" s="4"/>
      <c r="N142" s="4"/>
      <c r="O142" s="4"/>
      <c r="P142" s="4"/>
      <c r="Q142" s="4"/>
      <c r="R142" s="4"/>
    </row>
    <row r="143" ht="12.75" customHeight="1">
      <c r="B143" s="4"/>
      <c r="C143" s="4"/>
      <c r="D143" s="4"/>
      <c r="E143" s="4"/>
      <c r="F143" s="4"/>
      <c r="G143" s="4"/>
      <c r="H143" s="4"/>
      <c r="I143" s="4"/>
      <c r="J143" s="4"/>
      <c r="K143" s="4"/>
      <c r="L143" s="4"/>
      <c r="M143" s="4"/>
      <c r="N143" s="4"/>
      <c r="O143" s="4"/>
      <c r="P143" s="4"/>
      <c r="Q143" s="4"/>
      <c r="R143" s="4"/>
    </row>
    <row r="144" ht="12.75" customHeight="1">
      <c r="B144" s="4"/>
      <c r="C144" s="4"/>
      <c r="D144" s="4"/>
      <c r="E144" s="4"/>
      <c r="F144" s="4"/>
      <c r="G144" s="4"/>
      <c r="H144" s="4"/>
      <c r="I144" s="4"/>
      <c r="J144" s="4"/>
      <c r="K144" s="4"/>
      <c r="L144" s="4"/>
      <c r="M144" s="4"/>
      <c r="N144" s="4"/>
      <c r="O144" s="4"/>
      <c r="P144" s="4"/>
      <c r="Q144" s="4"/>
      <c r="R144" s="4"/>
    </row>
    <row r="145" ht="12.75" customHeight="1">
      <c r="B145" s="4"/>
      <c r="C145" s="4"/>
      <c r="D145" s="4"/>
      <c r="E145" s="4"/>
      <c r="F145" s="4"/>
      <c r="G145" s="4"/>
      <c r="H145" s="4"/>
      <c r="I145" s="4"/>
      <c r="J145" s="4"/>
      <c r="K145" s="4"/>
      <c r="L145" s="4"/>
      <c r="M145" s="4"/>
      <c r="N145" s="4"/>
      <c r="O145" s="4"/>
      <c r="P145" s="4"/>
      <c r="Q145" s="4"/>
      <c r="R145" s="4"/>
    </row>
    <row r="146" ht="12.75" customHeight="1">
      <c r="B146" s="4"/>
      <c r="C146" s="4"/>
      <c r="D146" s="4"/>
      <c r="E146" s="4"/>
      <c r="F146" s="4"/>
      <c r="G146" s="4"/>
      <c r="H146" s="4"/>
      <c r="I146" s="4"/>
      <c r="J146" s="4"/>
      <c r="K146" s="4"/>
      <c r="L146" s="4"/>
      <c r="M146" s="4"/>
      <c r="N146" s="4"/>
      <c r="O146" s="4"/>
      <c r="P146" s="4"/>
      <c r="Q146" s="4"/>
      <c r="R146" s="4"/>
    </row>
    <row r="147" ht="12.75" customHeight="1">
      <c r="B147" s="4"/>
      <c r="C147" s="4"/>
      <c r="D147" s="4"/>
      <c r="E147" s="4"/>
      <c r="F147" s="4"/>
      <c r="G147" s="4"/>
      <c r="H147" s="4"/>
      <c r="I147" s="4"/>
      <c r="J147" s="4"/>
      <c r="K147" s="4"/>
      <c r="L147" s="4"/>
      <c r="M147" s="4"/>
      <c r="N147" s="4"/>
      <c r="O147" s="4"/>
      <c r="P147" s="4"/>
      <c r="Q147" s="4"/>
      <c r="R147" s="4"/>
    </row>
    <row r="148" ht="12.75" customHeight="1">
      <c r="B148" s="4"/>
      <c r="C148" s="4"/>
      <c r="D148" s="4"/>
      <c r="E148" s="4"/>
      <c r="F148" s="4"/>
      <c r="G148" s="4"/>
      <c r="H148" s="4"/>
      <c r="I148" s="4"/>
      <c r="J148" s="4"/>
      <c r="K148" s="4"/>
      <c r="L148" s="4"/>
      <c r="M148" s="4"/>
      <c r="N148" s="4"/>
      <c r="O148" s="4"/>
      <c r="P148" s="4"/>
      <c r="Q148" s="4"/>
      <c r="R148" s="4"/>
    </row>
    <row r="149" ht="12.75" customHeight="1">
      <c r="B149" s="4"/>
      <c r="C149" s="4"/>
      <c r="D149" s="4"/>
      <c r="E149" s="4"/>
      <c r="F149" s="4"/>
      <c r="G149" s="4"/>
      <c r="H149" s="4"/>
      <c r="I149" s="4"/>
      <c r="J149" s="4"/>
      <c r="K149" s="4"/>
      <c r="L149" s="4"/>
      <c r="M149" s="4"/>
      <c r="N149" s="4"/>
      <c r="O149" s="4"/>
      <c r="P149" s="4"/>
      <c r="Q149" s="4"/>
      <c r="R149" s="4"/>
    </row>
    <row r="150" ht="12.75" customHeight="1">
      <c r="B150" s="4"/>
      <c r="C150" s="4"/>
      <c r="D150" s="4"/>
      <c r="E150" s="4"/>
      <c r="F150" s="4"/>
      <c r="G150" s="4"/>
      <c r="H150" s="4"/>
      <c r="I150" s="4"/>
      <c r="J150" s="4"/>
      <c r="K150" s="4"/>
      <c r="L150" s="4"/>
      <c r="M150" s="4"/>
      <c r="N150" s="4"/>
      <c r="O150" s="4"/>
      <c r="P150" s="4"/>
      <c r="Q150" s="4"/>
      <c r="R150" s="4"/>
    </row>
    <row r="151" ht="12.75" customHeight="1">
      <c r="B151" s="4"/>
      <c r="C151" s="4"/>
      <c r="D151" s="4"/>
      <c r="E151" s="4"/>
      <c r="F151" s="4"/>
      <c r="G151" s="4"/>
      <c r="H151" s="4"/>
      <c r="I151" s="4"/>
      <c r="J151" s="4"/>
      <c r="K151" s="4"/>
      <c r="L151" s="4"/>
      <c r="M151" s="4"/>
      <c r="N151" s="4"/>
      <c r="O151" s="4"/>
      <c r="P151" s="4"/>
      <c r="Q151" s="4"/>
      <c r="R151" s="4"/>
    </row>
    <row r="152" ht="12.75" customHeight="1">
      <c r="B152" s="4"/>
      <c r="C152" s="4"/>
      <c r="D152" s="4"/>
      <c r="E152" s="4"/>
      <c r="F152" s="4"/>
      <c r="G152" s="4"/>
      <c r="H152" s="4"/>
      <c r="I152" s="4"/>
      <c r="J152" s="4"/>
      <c r="K152" s="4"/>
      <c r="L152" s="4"/>
      <c r="M152" s="4"/>
      <c r="N152" s="4"/>
      <c r="O152" s="4"/>
      <c r="P152" s="4"/>
      <c r="Q152" s="4"/>
      <c r="R152" s="4"/>
    </row>
    <row r="153" ht="12.75" customHeight="1">
      <c r="B153" s="4"/>
      <c r="C153" s="4"/>
      <c r="D153" s="4"/>
      <c r="E153" s="4"/>
      <c r="F153" s="4"/>
      <c r="G153" s="4"/>
      <c r="H153" s="4"/>
      <c r="I153" s="4"/>
      <c r="J153" s="4"/>
      <c r="K153" s="4"/>
      <c r="L153" s="4"/>
      <c r="M153" s="4"/>
      <c r="N153" s="4"/>
      <c r="O153" s="4"/>
      <c r="P153" s="4"/>
      <c r="Q153" s="4"/>
      <c r="R153" s="4"/>
    </row>
    <row r="154" ht="12.75" customHeight="1">
      <c r="B154" s="4"/>
      <c r="C154" s="4"/>
      <c r="D154" s="4"/>
      <c r="E154" s="4"/>
      <c r="F154" s="4"/>
      <c r="G154" s="4"/>
      <c r="H154" s="4"/>
      <c r="I154" s="4"/>
      <c r="J154" s="4"/>
      <c r="K154" s="4"/>
      <c r="L154" s="4"/>
      <c r="M154" s="4"/>
      <c r="N154" s="4"/>
      <c r="O154" s="4"/>
      <c r="P154" s="4"/>
      <c r="Q154" s="4"/>
      <c r="R154" s="4"/>
    </row>
    <row r="155" ht="12.75" customHeight="1">
      <c r="B155" s="4"/>
      <c r="C155" s="4"/>
      <c r="D155" s="4"/>
      <c r="E155" s="4"/>
      <c r="F155" s="4"/>
      <c r="G155" s="4"/>
      <c r="H155" s="4"/>
      <c r="I155" s="4"/>
      <c r="J155" s="4"/>
      <c r="K155" s="4"/>
      <c r="L155" s="4"/>
      <c r="M155" s="4"/>
      <c r="N155" s="4"/>
      <c r="O155" s="4"/>
      <c r="P155" s="4"/>
      <c r="Q155" s="4"/>
      <c r="R155" s="4"/>
    </row>
    <row r="156" ht="12.75" customHeight="1">
      <c r="B156" s="4"/>
      <c r="C156" s="4"/>
      <c r="D156" s="4"/>
      <c r="E156" s="4"/>
      <c r="F156" s="4"/>
      <c r="G156" s="4"/>
      <c r="H156" s="4"/>
      <c r="I156" s="4"/>
      <c r="J156" s="4"/>
      <c r="K156" s="4"/>
      <c r="L156" s="4"/>
      <c r="M156" s="4"/>
      <c r="N156" s="4"/>
      <c r="O156" s="4"/>
      <c r="P156" s="4"/>
      <c r="Q156" s="4"/>
      <c r="R156" s="4"/>
    </row>
    <row r="157" ht="12.75" customHeight="1">
      <c r="B157" s="4"/>
      <c r="C157" s="4"/>
      <c r="D157" s="4"/>
      <c r="E157" s="4"/>
      <c r="F157" s="4"/>
      <c r="G157" s="4"/>
      <c r="H157" s="4"/>
      <c r="I157" s="4"/>
      <c r="J157" s="4"/>
      <c r="K157" s="4"/>
      <c r="L157" s="4"/>
      <c r="M157" s="4"/>
      <c r="N157" s="4"/>
      <c r="O157" s="4"/>
      <c r="P157" s="4"/>
      <c r="Q157" s="4"/>
      <c r="R157" s="4"/>
    </row>
    <row r="158" ht="12.75" customHeight="1">
      <c r="B158" s="4"/>
      <c r="C158" s="4"/>
      <c r="D158" s="4"/>
      <c r="E158" s="4"/>
      <c r="F158" s="4"/>
      <c r="G158" s="4"/>
      <c r="H158" s="4"/>
      <c r="I158" s="4"/>
      <c r="J158" s="4"/>
      <c r="K158" s="4"/>
      <c r="L158" s="4"/>
      <c r="M158" s="4"/>
      <c r="N158" s="4"/>
      <c r="O158" s="4"/>
      <c r="P158" s="4"/>
      <c r="Q158" s="4"/>
      <c r="R158" s="4"/>
    </row>
    <row r="159" ht="12.75" customHeight="1">
      <c r="B159" s="4"/>
      <c r="C159" s="4"/>
      <c r="D159" s="4"/>
      <c r="E159" s="4"/>
      <c r="F159" s="4"/>
      <c r="G159" s="4"/>
      <c r="H159" s="4"/>
      <c r="I159" s="4"/>
      <c r="J159" s="4"/>
      <c r="K159" s="4"/>
      <c r="L159" s="4"/>
      <c r="M159" s="4"/>
      <c r="N159" s="4"/>
      <c r="O159" s="4"/>
      <c r="P159" s="4"/>
      <c r="Q159" s="4"/>
      <c r="R159" s="4"/>
    </row>
    <row r="160" ht="12.75" customHeight="1">
      <c r="B160" s="4"/>
      <c r="C160" s="4"/>
      <c r="D160" s="4"/>
      <c r="E160" s="4"/>
      <c r="F160" s="4"/>
      <c r="G160" s="4"/>
      <c r="H160" s="4"/>
      <c r="I160" s="4"/>
      <c r="J160" s="4"/>
      <c r="K160" s="4"/>
      <c r="L160" s="4"/>
      <c r="M160" s="4"/>
      <c r="N160" s="4"/>
      <c r="O160" s="4"/>
      <c r="P160" s="4"/>
      <c r="Q160" s="4"/>
      <c r="R160" s="4"/>
    </row>
    <row r="161" ht="12.75" customHeight="1">
      <c r="B161" s="4"/>
      <c r="C161" s="4"/>
      <c r="D161" s="4"/>
      <c r="E161" s="4"/>
      <c r="F161" s="4"/>
      <c r="G161" s="4"/>
      <c r="H161" s="4"/>
      <c r="I161" s="4"/>
      <c r="J161" s="4"/>
      <c r="K161" s="4"/>
      <c r="L161" s="4"/>
      <c r="M161" s="4"/>
      <c r="N161" s="4"/>
      <c r="O161" s="4"/>
      <c r="P161" s="4"/>
      <c r="Q161" s="4"/>
      <c r="R161" s="4"/>
    </row>
    <row r="162" ht="12.75" customHeight="1">
      <c r="B162" s="4"/>
      <c r="C162" s="4"/>
      <c r="D162" s="4"/>
      <c r="E162" s="4"/>
      <c r="F162" s="4"/>
      <c r="G162" s="4"/>
      <c r="H162" s="4"/>
      <c r="I162" s="4"/>
      <c r="J162" s="4"/>
      <c r="K162" s="4"/>
      <c r="L162" s="4"/>
      <c r="M162" s="4"/>
      <c r="N162" s="4"/>
      <c r="O162" s="4"/>
      <c r="P162" s="4"/>
      <c r="Q162" s="4"/>
      <c r="R162" s="4"/>
    </row>
    <row r="163" ht="12.75" customHeight="1">
      <c r="B163" s="4"/>
      <c r="C163" s="4"/>
      <c r="D163" s="4"/>
      <c r="E163" s="4"/>
      <c r="F163" s="4"/>
      <c r="G163" s="4"/>
      <c r="H163" s="4"/>
      <c r="I163" s="4"/>
      <c r="J163" s="4"/>
      <c r="K163" s="4"/>
      <c r="L163" s="4"/>
      <c r="M163" s="4"/>
      <c r="N163" s="4"/>
      <c r="O163" s="4"/>
      <c r="P163" s="4"/>
      <c r="Q163" s="4"/>
      <c r="R163" s="4"/>
    </row>
    <row r="164" ht="12.75" customHeight="1">
      <c r="B164" s="4"/>
      <c r="C164" s="4"/>
      <c r="D164" s="4"/>
      <c r="E164" s="4"/>
      <c r="F164" s="4"/>
      <c r="G164" s="4"/>
      <c r="H164" s="4"/>
      <c r="I164" s="4"/>
      <c r="J164" s="4"/>
      <c r="K164" s="4"/>
      <c r="L164" s="4"/>
      <c r="M164" s="4"/>
      <c r="N164" s="4"/>
      <c r="O164" s="4"/>
      <c r="P164" s="4"/>
      <c r="Q164" s="4"/>
      <c r="R164" s="4"/>
    </row>
    <row r="165" ht="12.75" customHeight="1">
      <c r="B165" s="4"/>
      <c r="C165" s="4"/>
      <c r="D165" s="4"/>
      <c r="E165" s="4"/>
      <c r="F165" s="4"/>
      <c r="G165" s="4"/>
      <c r="H165" s="4"/>
      <c r="I165" s="4"/>
      <c r="J165" s="4"/>
      <c r="K165" s="4"/>
      <c r="L165" s="4"/>
      <c r="M165" s="4"/>
      <c r="N165" s="4"/>
      <c r="O165" s="4"/>
      <c r="P165" s="4"/>
      <c r="Q165" s="4"/>
      <c r="R165" s="4"/>
    </row>
    <row r="166" ht="12.75" customHeight="1">
      <c r="B166" s="4"/>
      <c r="C166" s="4"/>
      <c r="D166" s="4"/>
      <c r="E166" s="4"/>
      <c r="F166" s="4"/>
      <c r="G166" s="4"/>
      <c r="H166" s="4"/>
      <c r="I166" s="4"/>
      <c r="J166" s="4"/>
      <c r="K166" s="4"/>
      <c r="L166" s="4"/>
      <c r="M166" s="4"/>
      <c r="N166" s="4"/>
      <c r="O166" s="4"/>
      <c r="P166" s="4"/>
      <c r="Q166" s="4"/>
      <c r="R166" s="4"/>
    </row>
    <row r="167" ht="12.75" customHeight="1">
      <c r="B167" s="4"/>
      <c r="C167" s="4"/>
      <c r="D167" s="4"/>
      <c r="E167" s="4"/>
      <c r="F167" s="4"/>
      <c r="G167" s="4"/>
      <c r="H167" s="4"/>
      <c r="I167" s="4"/>
      <c r="J167" s="4"/>
      <c r="K167" s="4"/>
      <c r="L167" s="4"/>
      <c r="M167" s="4"/>
      <c r="N167" s="4"/>
      <c r="O167" s="4"/>
      <c r="P167" s="4"/>
      <c r="Q167" s="4"/>
      <c r="R167" s="4"/>
    </row>
    <row r="168" ht="12.75" customHeight="1">
      <c r="B168" s="4"/>
      <c r="C168" s="4"/>
      <c r="D168" s="4"/>
      <c r="E168" s="4"/>
      <c r="F168" s="4"/>
      <c r="G168" s="4"/>
      <c r="H168" s="4"/>
      <c r="I168" s="4"/>
      <c r="J168" s="4"/>
      <c r="K168" s="4"/>
      <c r="L168" s="4"/>
      <c r="M168" s="4"/>
      <c r="N168" s="4"/>
      <c r="O168" s="4"/>
      <c r="P168" s="4"/>
      <c r="Q168" s="4"/>
      <c r="R168" s="4"/>
    </row>
    <row r="169" ht="12.75" customHeight="1">
      <c r="B169" s="4"/>
      <c r="C169" s="4"/>
      <c r="D169" s="4"/>
      <c r="E169" s="4"/>
      <c r="F169" s="4"/>
      <c r="G169" s="4"/>
      <c r="H169" s="4"/>
      <c r="I169" s="4"/>
      <c r="J169" s="4"/>
      <c r="K169" s="4"/>
      <c r="L169" s="4"/>
      <c r="M169" s="4"/>
      <c r="N169" s="4"/>
      <c r="O169" s="4"/>
      <c r="P169" s="4"/>
      <c r="Q169" s="4"/>
      <c r="R169" s="4"/>
    </row>
    <row r="170" ht="12.75" customHeight="1">
      <c r="B170" s="4"/>
      <c r="C170" s="4"/>
      <c r="D170" s="4"/>
      <c r="E170" s="4"/>
      <c r="F170" s="4"/>
      <c r="G170" s="4"/>
      <c r="H170" s="4"/>
      <c r="I170" s="4"/>
      <c r="J170" s="4"/>
      <c r="K170" s="4"/>
      <c r="L170" s="4"/>
      <c r="M170" s="4"/>
      <c r="N170" s="4"/>
      <c r="O170" s="4"/>
      <c r="P170" s="4"/>
      <c r="Q170" s="4"/>
      <c r="R170" s="4"/>
    </row>
    <row r="171" ht="12.75" customHeight="1">
      <c r="B171" s="4"/>
      <c r="C171" s="4"/>
      <c r="D171" s="4"/>
      <c r="E171" s="4"/>
      <c r="F171" s="4"/>
      <c r="G171" s="4"/>
      <c r="H171" s="4"/>
      <c r="I171" s="4"/>
      <c r="J171" s="4"/>
      <c r="K171" s="4"/>
      <c r="L171" s="4"/>
      <c r="M171" s="4"/>
      <c r="N171" s="4"/>
      <c r="O171" s="4"/>
      <c r="P171" s="4"/>
      <c r="Q171" s="4"/>
      <c r="R171" s="4"/>
    </row>
    <row r="172" ht="12.75" customHeight="1">
      <c r="B172" s="4"/>
      <c r="C172" s="4"/>
      <c r="D172" s="4"/>
      <c r="E172" s="4"/>
      <c r="F172" s="4"/>
      <c r="G172" s="4"/>
      <c r="H172" s="4"/>
      <c r="I172" s="4"/>
      <c r="J172" s="4"/>
      <c r="K172" s="4"/>
      <c r="L172" s="4"/>
      <c r="M172" s="4"/>
      <c r="N172" s="4"/>
      <c r="O172" s="4"/>
      <c r="P172" s="4"/>
      <c r="Q172" s="4"/>
      <c r="R172" s="4"/>
    </row>
    <row r="173" ht="12.75" customHeight="1">
      <c r="B173" s="4"/>
      <c r="C173" s="4"/>
      <c r="D173" s="4"/>
      <c r="E173" s="4"/>
      <c r="F173" s="4"/>
      <c r="G173" s="4"/>
      <c r="H173" s="4"/>
      <c r="I173" s="4"/>
      <c r="J173" s="4"/>
      <c r="K173" s="4"/>
      <c r="L173" s="4"/>
      <c r="M173" s="4"/>
      <c r="N173" s="4"/>
      <c r="O173" s="4"/>
      <c r="P173" s="4"/>
      <c r="Q173" s="4"/>
      <c r="R173" s="4"/>
    </row>
    <row r="174" ht="12.75" customHeight="1">
      <c r="B174" s="4"/>
      <c r="C174" s="4"/>
      <c r="D174" s="4"/>
      <c r="E174" s="4"/>
      <c r="F174" s="4"/>
      <c r="G174" s="4"/>
      <c r="H174" s="4"/>
      <c r="I174" s="4"/>
      <c r="J174" s="4"/>
      <c r="K174" s="4"/>
      <c r="L174" s="4"/>
      <c r="M174" s="4"/>
      <c r="N174" s="4"/>
      <c r="O174" s="4"/>
      <c r="P174" s="4"/>
      <c r="Q174" s="4"/>
      <c r="R174" s="4"/>
    </row>
    <row r="175" ht="12.75" customHeight="1">
      <c r="B175" s="4"/>
      <c r="C175" s="4"/>
      <c r="D175" s="4"/>
      <c r="E175" s="4"/>
      <c r="F175" s="4"/>
      <c r="G175" s="4"/>
      <c r="H175" s="4"/>
      <c r="I175" s="4"/>
      <c r="J175" s="4"/>
      <c r="K175" s="4"/>
      <c r="L175" s="4"/>
      <c r="M175" s="4"/>
      <c r="N175" s="4"/>
      <c r="O175" s="4"/>
      <c r="P175" s="4"/>
      <c r="Q175" s="4"/>
      <c r="R175" s="4"/>
    </row>
    <row r="176" ht="12.75" customHeight="1">
      <c r="B176" s="4"/>
      <c r="C176" s="4"/>
      <c r="D176" s="4"/>
      <c r="E176" s="4"/>
      <c r="F176" s="4"/>
      <c r="G176" s="4"/>
      <c r="H176" s="4"/>
      <c r="I176" s="4"/>
      <c r="J176" s="4"/>
      <c r="K176" s="4"/>
      <c r="L176" s="4"/>
      <c r="M176" s="4"/>
      <c r="N176" s="4"/>
      <c r="O176" s="4"/>
      <c r="P176" s="4"/>
      <c r="Q176" s="4"/>
      <c r="R176" s="4"/>
    </row>
    <row r="177" ht="12.75" customHeight="1">
      <c r="B177" s="4"/>
      <c r="C177" s="4"/>
      <c r="D177" s="4"/>
      <c r="E177" s="4"/>
      <c r="F177" s="4"/>
      <c r="G177" s="4"/>
      <c r="H177" s="4"/>
      <c r="I177" s="4"/>
      <c r="J177" s="4"/>
      <c r="K177" s="4"/>
      <c r="L177" s="4"/>
      <c r="M177" s="4"/>
      <c r="N177" s="4"/>
      <c r="O177" s="4"/>
      <c r="P177" s="4"/>
      <c r="Q177" s="4"/>
      <c r="R177" s="4"/>
    </row>
    <row r="178" ht="12.75" customHeight="1">
      <c r="B178" s="4"/>
      <c r="C178" s="4"/>
      <c r="D178" s="4"/>
      <c r="E178" s="4"/>
      <c r="F178" s="4"/>
      <c r="G178" s="4"/>
      <c r="H178" s="4"/>
      <c r="I178" s="4"/>
      <c r="J178" s="4"/>
      <c r="K178" s="4"/>
      <c r="L178" s="4"/>
      <c r="M178" s="4"/>
      <c r="N178" s="4"/>
      <c r="O178" s="4"/>
      <c r="P178" s="4"/>
      <c r="Q178" s="4"/>
      <c r="R178" s="4"/>
    </row>
    <row r="179" ht="12.75" customHeight="1">
      <c r="B179" s="4"/>
      <c r="C179" s="4"/>
      <c r="D179" s="4"/>
      <c r="E179" s="4"/>
      <c r="F179" s="4"/>
      <c r="G179" s="4"/>
      <c r="H179" s="4"/>
      <c r="I179" s="4"/>
      <c r="J179" s="4"/>
      <c r="K179" s="4"/>
      <c r="L179" s="4"/>
      <c r="M179" s="4"/>
      <c r="N179" s="4"/>
      <c r="O179" s="4"/>
      <c r="P179" s="4"/>
      <c r="Q179" s="4"/>
      <c r="R179" s="4"/>
    </row>
    <row r="180" ht="12.75" customHeight="1">
      <c r="B180" s="4"/>
      <c r="C180" s="4"/>
      <c r="D180" s="4"/>
      <c r="E180" s="4"/>
      <c r="F180" s="4"/>
      <c r="G180" s="4"/>
      <c r="H180" s="4"/>
      <c r="I180" s="4"/>
      <c r="J180" s="4"/>
      <c r="K180" s="4"/>
      <c r="L180" s="4"/>
      <c r="M180" s="4"/>
      <c r="N180" s="4"/>
      <c r="O180" s="4"/>
      <c r="P180" s="4"/>
      <c r="Q180" s="4"/>
      <c r="R180" s="4"/>
    </row>
    <row r="181" ht="12.75" customHeight="1">
      <c r="B181" s="4"/>
      <c r="C181" s="4"/>
      <c r="D181" s="4"/>
      <c r="E181" s="4"/>
      <c r="F181" s="4"/>
      <c r="G181" s="4"/>
      <c r="H181" s="4"/>
      <c r="I181" s="4"/>
      <c r="J181" s="4"/>
      <c r="K181" s="4"/>
      <c r="L181" s="4"/>
      <c r="M181" s="4"/>
      <c r="N181" s="4"/>
      <c r="O181" s="4"/>
      <c r="P181" s="4"/>
      <c r="Q181" s="4"/>
      <c r="R181" s="4"/>
    </row>
    <row r="182" ht="12.75" customHeight="1">
      <c r="B182" s="4"/>
      <c r="C182" s="4"/>
      <c r="D182" s="4"/>
      <c r="E182" s="4"/>
      <c r="F182" s="4"/>
      <c r="G182" s="4"/>
      <c r="H182" s="4"/>
      <c r="I182" s="4"/>
      <c r="J182" s="4"/>
      <c r="K182" s="4"/>
      <c r="L182" s="4"/>
      <c r="M182" s="4"/>
      <c r="N182" s="4"/>
      <c r="O182" s="4"/>
      <c r="P182" s="4"/>
      <c r="Q182" s="4"/>
      <c r="R182" s="4"/>
    </row>
    <row r="183" ht="12.75" customHeight="1">
      <c r="B183" s="4"/>
      <c r="C183" s="4"/>
      <c r="D183" s="4"/>
      <c r="E183" s="4"/>
      <c r="F183" s="4"/>
      <c r="G183" s="4"/>
      <c r="H183" s="4"/>
      <c r="I183" s="4"/>
      <c r="J183" s="4"/>
      <c r="K183" s="4"/>
      <c r="L183" s="4"/>
      <c r="M183" s="4"/>
      <c r="N183" s="4"/>
      <c r="O183" s="4"/>
      <c r="P183" s="4"/>
      <c r="Q183" s="4"/>
      <c r="R183" s="4"/>
    </row>
    <row r="184" ht="12.75" customHeight="1">
      <c r="B184" s="4"/>
      <c r="C184" s="4"/>
      <c r="D184" s="4"/>
      <c r="E184" s="4"/>
      <c r="F184" s="4"/>
      <c r="G184" s="4"/>
      <c r="H184" s="4"/>
      <c r="I184" s="4"/>
      <c r="J184" s="4"/>
      <c r="K184" s="4"/>
      <c r="L184" s="4"/>
      <c r="M184" s="4"/>
      <c r="N184" s="4"/>
      <c r="O184" s="4"/>
      <c r="P184" s="4"/>
      <c r="Q184" s="4"/>
      <c r="R184" s="4"/>
    </row>
    <row r="185" ht="12.75" customHeight="1">
      <c r="B185" s="4"/>
      <c r="C185" s="4"/>
      <c r="D185" s="4"/>
      <c r="E185" s="4"/>
      <c r="F185" s="4"/>
      <c r="G185" s="4"/>
      <c r="H185" s="4"/>
      <c r="I185" s="4"/>
      <c r="J185" s="4"/>
      <c r="K185" s="4"/>
      <c r="L185" s="4"/>
      <c r="M185" s="4"/>
      <c r="N185" s="4"/>
      <c r="O185" s="4"/>
      <c r="P185" s="4"/>
      <c r="Q185" s="4"/>
      <c r="R185" s="4"/>
    </row>
    <row r="186" ht="12.75" customHeight="1">
      <c r="B186" s="4"/>
      <c r="C186" s="4"/>
      <c r="D186" s="4"/>
      <c r="E186" s="4"/>
      <c r="F186" s="4"/>
      <c r="G186" s="4"/>
      <c r="H186" s="4"/>
      <c r="I186" s="4"/>
      <c r="J186" s="4"/>
      <c r="K186" s="4"/>
      <c r="L186" s="4"/>
      <c r="M186" s="4"/>
      <c r="N186" s="4"/>
      <c r="O186" s="4"/>
      <c r="P186" s="4"/>
      <c r="Q186" s="4"/>
      <c r="R186" s="4"/>
    </row>
    <row r="187" ht="12.75" customHeight="1">
      <c r="B187" s="4"/>
      <c r="C187" s="4"/>
      <c r="D187" s="4"/>
      <c r="E187" s="4"/>
      <c r="F187" s="4"/>
      <c r="G187" s="4"/>
      <c r="H187" s="4"/>
      <c r="I187" s="4"/>
      <c r="J187" s="4"/>
      <c r="K187" s="4"/>
      <c r="L187" s="4"/>
      <c r="M187" s="4"/>
      <c r="N187" s="4"/>
      <c r="O187" s="4"/>
      <c r="P187" s="4"/>
      <c r="Q187" s="4"/>
      <c r="R187" s="4"/>
    </row>
    <row r="188" ht="12.75" customHeight="1">
      <c r="B188" s="4"/>
      <c r="C188" s="4"/>
      <c r="D188" s="4"/>
      <c r="E188" s="4"/>
      <c r="F188" s="4"/>
      <c r="G188" s="4"/>
      <c r="H188" s="4"/>
      <c r="I188" s="4"/>
      <c r="J188" s="4"/>
      <c r="K188" s="4"/>
      <c r="L188" s="4"/>
      <c r="M188" s="4"/>
      <c r="N188" s="4"/>
      <c r="O188" s="4"/>
      <c r="P188" s="4"/>
      <c r="Q188" s="4"/>
      <c r="R188" s="4"/>
    </row>
    <row r="189" ht="12.75" customHeight="1">
      <c r="B189" s="4"/>
      <c r="C189" s="4"/>
      <c r="D189" s="4"/>
      <c r="E189" s="4"/>
      <c r="F189" s="4"/>
      <c r="G189" s="4"/>
      <c r="H189" s="4"/>
      <c r="I189" s="4"/>
      <c r="J189" s="4"/>
      <c r="K189" s="4"/>
      <c r="L189" s="4"/>
      <c r="M189" s="4"/>
      <c r="N189" s="4"/>
      <c r="O189" s="4"/>
      <c r="P189" s="4"/>
      <c r="Q189" s="4"/>
      <c r="R189" s="4"/>
    </row>
    <row r="190" ht="12.75" customHeight="1">
      <c r="B190" s="4"/>
      <c r="C190" s="4"/>
      <c r="D190" s="4"/>
      <c r="E190" s="4"/>
      <c r="F190" s="4"/>
      <c r="G190" s="4"/>
      <c r="H190" s="4"/>
      <c r="I190" s="4"/>
      <c r="J190" s="4"/>
      <c r="K190" s="4"/>
      <c r="L190" s="4"/>
      <c r="M190" s="4"/>
      <c r="N190" s="4"/>
      <c r="O190" s="4"/>
      <c r="P190" s="4"/>
      <c r="Q190" s="4"/>
      <c r="R190" s="4"/>
    </row>
    <row r="191" ht="12.75" customHeight="1">
      <c r="B191" s="4"/>
      <c r="C191" s="4"/>
      <c r="D191" s="4"/>
      <c r="E191" s="4"/>
      <c r="F191" s="4"/>
      <c r="G191" s="4"/>
      <c r="H191" s="4"/>
      <c r="I191" s="4"/>
      <c r="J191" s="4"/>
      <c r="K191" s="4"/>
      <c r="L191" s="4"/>
      <c r="M191" s="4"/>
      <c r="N191" s="4"/>
      <c r="O191" s="4"/>
      <c r="P191" s="4"/>
      <c r="Q191" s="4"/>
      <c r="R191" s="4"/>
    </row>
    <row r="192" ht="12.75" customHeight="1">
      <c r="B192" s="4"/>
      <c r="C192" s="4"/>
      <c r="D192" s="4"/>
      <c r="E192" s="4"/>
      <c r="F192" s="4"/>
      <c r="G192" s="4"/>
      <c r="H192" s="4"/>
      <c r="I192" s="4"/>
      <c r="J192" s="4"/>
      <c r="K192" s="4"/>
      <c r="L192" s="4"/>
      <c r="M192" s="4"/>
      <c r="N192" s="4"/>
      <c r="O192" s="4"/>
      <c r="P192" s="4"/>
      <c r="Q192" s="4"/>
      <c r="R192" s="4"/>
    </row>
    <row r="193" ht="12.75" customHeight="1">
      <c r="B193" s="4"/>
      <c r="C193" s="4"/>
      <c r="D193" s="4"/>
      <c r="E193" s="4"/>
      <c r="F193" s="4"/>
      <c r="G193" s="4"/>
      <c r="H193" s="4"/>
      <c r="I193" s="4"/>
      <c r="J193" s="4"/>
      <c r="K193" s="4"/>
      <c r="L193" s="4"/>
      <c r="M193" s="4"/>
      <c r="N193" s="4"/>
      <c r="O193" s="4"/>
      <c r="P193" s="4"/>
      <c r="Q193" s="4"/>
      <c r="R193" s="4"/>
    </row>
    <row r="194" ht="12.75" customHeight="1">
      <c r="B194" s="4"/>
      <c r="C194" s="4"/>
      <c r="D194" s="4"/>
      <c r="E194" s="4"/>
      <c r="F194" s="4"/>
      <c r="G194" s="4"/>
      <c r="H194" s="4"/>
      <c r="I194" s="4"/>
      <c r="J194" s="4"/>
      <c r="K194" s="4"/>
      <c r="L194" s="4"/>
      <c r="M194" s="4"/>
      <c r="N194" s="4"/>
      <c r="O194" s="4"/>
      <c r="P194" s="4"/>
      <c r="Q194" s="4"/>
      <c r="R194" s="4"/>
    </row>
    <row r="195" ht="12.75" customHeight="1">
      <c r="B195" s="4"/>
      <c r="C195" s="4"/>
      <c r="D195" s="4"/>
      <c r="E195" s="4"/>
      <c r="F195" s="4"/>
      <c r="G195" s="4"/>
      <c r="H195" s="4"/>
      <c r="I195" s="4"/>
      <c r="J195" s="4"/>
      <c r="K195" s="4"/>
      <c r="L195" s="4"/>
      <c r="M195" s="4"/>
      <c r="N195" s="4"/>
      <c r="O195" s="4"/>
      <c r="P195" s="4"/>
      <c r="Q195" s="4"/>
      <c r="R195" s="4"/>
    </row>
    <row r="196" ht="12.75" customHeight="1">
      <c r="B196" s="4"/>
      <c r="C196" s="4"/>
      <c r="D196" s="4"/>
      <c r="E196" s="4"/>
      <c r="F196" s="4"/>
      <c r="G196" s="4"/>
      <c r="H196" s="4"/>
      <c r="I196" s="4"/>
      <c r="J196" s="4"/>
      <c r="K196" s="4"/>
      <c r="L196" s="4"/>
      <c r="M196" s="4"/>
      <c r="N196" s="4"/>
      <c r="O196" s="4"/>
      <c r="P196" s="4"/>
      <c r="Q196" s="4"/>
      <c r="R196" s="4"/>
    </row>
    <row r="197" ht="12.75" customHeight="1">
      <c r="B197" s="4"/>
      <c r="C197" s="4"/>
      <c r="D197" s="4"/>
      <c r="E197" s="4"/>
      <c r="F197" s="4"/>
      <c r="G197" s="4"/>
      <c r="H197" s="4"/>
      <c r="I197" s="4"/>
      <c r="J197" s="4"/>
      <c r="K197" s="4"/>
      <c r="L197" s="4"/>
      <c r="M197" s="4"/>
      <c r="N197" s="4"/>
      <c r="O197" s="4"/>
      <c r="P197" s="4"/>
      <c r="Q197" s="4"/>
      <c r="R197" s="4"/>
    </row>
    <row r="198" ht="12.75" customHeight="1">
      <c r="B198" s="4"/>
      <c r="C198" s="4"/>
      <c r="D198" s="4"/>
      <c r="E198" s="4"/>
      <c r="F198" s="4"/>
      <c r="G198" s="4"/>
      <c r="H198" s="4"/>
      <c r="I198" s="4"/>
      <c r="J198" s="4"/>
      <c r="K198" s="4"/>
      <c r="L198" s="4"/>
      <c r="M198" s="4"/>
      <c r="N198" s="4"/>
      <c r="O198" s="4"/>
      <c r="P198" s="4"/>
      <c r="Q198" s="4"/>
      <c r="R198" s="4"/>
    </row>
    <row r="199" ht="12.75" customHeight="1">
      <c r="B199" s="4"/>
      <c r="C199" s="4"/>
      <c r="D199" s="4"/>
      <c r="E199" s="4"/>
      <c r="F199" s="4"/>
      <c r="G199" s="4"/>
      <c r="H199" s="4"/>
      <c r="I199" s="4"/>
      <c r="J199" s="4"/>
      <c r="K199" s="4"/>
      <c r="L199" s="4"/>
      <c r="M199" s="4"/>
      <c r="N199" s="4"/>
      <c r="O199" s="4"/>
      <c r="P199" s="4"/>
      <c r="Q199" s="4"/>
      <c r="R199" s="4"/>
    </row>
    <row r="200" ht="12.75" customHeight="1">
      <c r="B200" s="4"/>
      <c r="C200" s="4"/>
      <c r="D200" s="4"/>
      <c r="E200" s="4"/>
      <c r="F200" s="4"/>
      <c r="G200" s="4"/>
      <c r="H200" s="4"/>
      <c r="I200" s="4"/>
      <c r="J200" s="4"/>
      <c r="K200" s="4"/>
      <c r="L200" s="4"/>
      <c r="M200" s="4"/>
      <c r="N200" s="4"/>
      <c r="O200" s="4"/>
      <c r="P200" s="4"/>
      <c r="Q200" s="4"/>
      <c r="R200" s="4"/>
    </row>
    <row r="201" ht="12.75" customHeight="1">
      <c r="B201" s="4"/>
      <c r="C201" s="4"/>
      <c r="D201" s="4"/>
      <c r="E201" s="4"/>
      <c r="F201" s="4"/>
      <c r="G201" s="4"/>
      <c r="H201" s="4"/>
      <c r="I201" s="4"/>
      <c r="J201" s="4"/>
      <c r="K201" s="4"/>
      <c r="L201" s="4"/>
      <c r="M201" s="4"/>
      <c r="N201" s="4"/>
      <c r="O201" s="4"/>
      <c r="P201" s="4"/>
      <c r="Q201" s="4"/>
      <c r="R201" s="4"/>
    </row>
    <row r="202" ht="12.75" customHeight="1">
      <c r="B202" s="4"/>
      <c r="C202" s="4"/>
      <c r="D202" s="4"/>
      <c r="E202" s="4"/>
      <c r="F202" s="4"/>
      <c r="G202" s="4"/>
      <c r="H202" s="4"/>
      <c r="I202" s="4"/>
      <c r="J202" s="4"/>
      <c r="K202" s="4"/>
      <c r="L202" s="4"/>
      <c r="M202" s="4"/>
      <c r="N202" s="4"/>
      <c r="O202" s="4"/>
      <c r="P202" s="4"/>
      <c r="Q202" s="4"/>
      <c r="R202" s="4"/>
    </row>
    <row r="203" ht="12.75" customHeight="1">
      <c r="B203" s="4"/>
      <c r="C203" s="4"/>
      <c r="D203" s="4"/>
      <c r="E203" s="4"/>
      <c r="F203" s="4"/>
      <c r="G203" s="4"/>
      <c r="H203" s="4"/>
      <c r="I203" s="4"/>
      <c r="J203" s="4"/>
      <c r="K203" s="4"/>
      <c r="L203" s="4"/>
      <c r="M203" s="4"/>
      <c r="N203" s="4"/>
      <c r="O203" s="4"/>
      <c r="P203" s="4"/>
      <c r="Q203" s="4"/>
      <c r="R203" s="4"/>
    </row>
    <row r="204" ht="12.75" customHeight="1">
      <c r="B204" s="4"/>
      <c r="C204" s="4"/>
      <c r="D204" s="4"/>
      <c r="E204" s="4"/>
      <c r="F204" s="4"/>
      <c r="G204" s="4"/>
      <c r="H204" s="4"/>
      <c r="I204" s="4"/>
      <c r="J204" s="4"/>
      <c r="K204" s="4"/>
      <c r="L204" s="4"/>
      <c r="M204" s="4"/>
      <c r="N204" s="4"/>
      <c r="O204" s="4"/>
      <c r="P204" s="4"/>
      <c r="Q204" s="4"/>
      <c r="R204" s="4"/>
    </row>
    <row r="205" ht="12.75" customHeight="1">
      <c r="B205" s="4"/>
      <c r="C205" s="4"/>
      <c r="D205" s="4"/>
      <c r="E205" s="4"/>
      <c r="F205" s="4"/>
      <c r="G205" s="4"/>
      <c r="H205" s="4"/>
      <c r="I205" s="4"/>
      <c r="J205" s="4"/>
      <c r="K205" s="4"/>
      <c r="L205" s="4"/>
      <c r="M205" s="4"/>
      <c r="N205" s="4"/>
      <c r="O205" s="4"/>
      <c r="P205" s="4"/>
      <c r="Q205" s="4"/>
      <c r="R205" s="4"/>
    </row>
    <row r="206" ht="12.75" customHeight="1">
      <c r="B206" s="4"/>
      <c r="C206" s="4"/>
      <c r="D206" s="4"/>
      <c r="E206" s="4"/>
      <c r="F206" s="4"/>
      <c r="G206" s="4"/>
      <c r="H206" s="4"/>
      <c r="I206" s="4"/>
      <c r="J206" s="4"/>
      <c r="K206" s="4"/>
      <c r="L206" s="4"/>
      <c r="M206" s="4"/>
      <c r="N206" s="4"/>
      <c r="O206" s="4"/>
      <c r="P206" s="4"/>
      <c r="Q206" s="4"/>
      <c r="R206" s="4"/>
    </row>
    <row r="207" ht="12.75" customHeight="1">
      <c r="B207" s="4"/>
      <c r="C207" s="4"/>
      <c r="D207" s="4"/>
      <c r="E207" s="4"/>
      <c r="F207" s="4"/>
      <c r="G207" s="4"/>
      <c r="H207" s="4"/>
      <c r="I207" s="4"/>
      <c r="J207" s="4"/>
      <c r="K207" s="4"/>
      <c r="L207" s="4"/>
      <c r="M207" s="4"/>
      <c r="N207" s="4"/>
      <c r="O207" s="4"/>
      <c r="P207" s="4"/>
      <c r="Q207" s="4"/>
      <c r="R207" s="4"/>
    </row>
    <row r="208" ht="12.75" customHeight="1">
      <c r="B208" s="4"/>
      <c r="C208" s="4"/>
      <c r="D208" s="4"/>
      <c r="E208" s="4"/>
      <c r="F208" s="4"/>
      <c r="G208" s="4"/>
      <c r="H208" s="4"/>
      <c r="I208" s="4"/>
      <c r="J208" s="4"/>
      <c r="K208" s="4"/>
      <c r="L208" s="4"/>
      <c r="M208" s="4"/>
      <c r="N208" s="4"/>
      <c r="O208" s="4"/>
      <c r="P208" s="4"/>
      <c r="Q208" s="4"/>
      <c r="R208" s="4"/>
    </row>
    <row r="209" ht="12.75" customHeight="1">
      <c r="B209" s="4"/>
      <c r="C209" s="4"/>
      <c r="D209" s="4"/>
      <c r="E209" s="4"/>
      <c r="F209" s="4"/>
      <c r="G209" s="4"/>
      <c r="H209" s="4"/>
      <c r="I209" s="4"/>
      <c r="J209" s="4"/>
      <c r="K209" s="4"/>
      <c r="L209" s="4"/>
      <c r="M209" s="4"/>
      <c r="N209" s="4"/>
      <c r="O209" s="4"/>
      <c r="P209" s="4"/>
      <c r="Q209" s="4"/>
      <c r="R209" s="4"/>
    </row>
    <row r="210" ht="12.75" customHeight="1">
      <c r="B210" s="4"/>
      <c r="C210" s="4"/>
      <c r="D210" s="4"/>
      <c r="E210" s="4"/>
      <c r="F210" s="4"/>
      <c r="G210" s="4"/>
      <c r="H210" s="4"/>
      <c r="I210" s="4"/>
      <c r="J210" s="4"/>
      <c r="K210" s="4"/>
      <c r="L210" s="4"/>
      <c r="M210" s="4"/>
      <c r="N210" s="4"/>
      <c r="O210" s="4"/>
      <c r="P210" s="4"/>
      <c r="Q210" s="4"/>
      <c r="R210" s="4"/>
    </row>
    <row r="211" ht="12.75" customHeight="1">
      <c r="B211" s="4"/>
      <c r="C211" s="4"/>
      <c r="D211" s="4"/>
      <c r="E211" s="4"/>
      <c r="F211" s="4"/>
      <c r="G211" s="4"/>
      <c r="H211" s="4"/>
      <c r="I211" s="4"/>
      <c r="J211" s="4"/>
      <c r="K211" s="4"/>
      <c r="L211" s="4"/>
      <c r="M211" s="4"/>
      <c r="N211" s="4"/>
      <c r="O211" s="4"/>
      <c r="P211" s="4"/>
      <c r="Q211" s="4"/>
      <c r="R211" s="4"/>
    </row>
    <row r="212" ht="12.75" customHeight="1">
      <c r="B212" s="4"/>
      <c r="C212" s="4"/>
      <c r="D212" s="4"/>
      <c r="E212" s="4"/>
      <c r="F212" s="4"/>
      <c r="G212" s="4"/>
      <c r="H212" s="4"/>
      <c r="I212" s="4"/>
      <c r="J212" s="4"/>
      <c r="K212" s="4"/>
      <c r="L212" s="4"/>
      <c r="M212" s="4"/>
      <c r="N212" s="4"/>
      <c r="O212" s="4"/>
      <c r="P212" s="4"/>
      <c r="Q212" s="4"/>
      <c r="R212" s="4"/>
    </row>
    <row r="213" ht="12.75" customHeight="1">
      <c r="B213" s="4"/>
      <c r="C213" s="4"/>
      <c r="D213" s="4"/>
      <c r="E213" s="4"/>
      <c r="F213" s="4"/>
      <c r="G213" s="4"/>
      <c r="H213" s="4"/>
      <c r="I213" s="4"/>
      <c r="J213" s="4"/>
      <c r="K213" s="4"/>
      <c r="L213" s="4"/>
      <c r="M213" s="4"/>
      <c r="N213" s="4"/>
      <c r="O213" s="4"/>
      <c r="P213" s="4"/>
      <c r="Q213" s="4"/>
      <c r="R213" s="4"/>
    </row>
    <row r="214" ht="12.75" customHeight="1">
      <c r="B214" s="4"/>
      <c r="C214" s="4"/>
      <c r="D214" s="4"/>
      <c r="E214" s="4"/>
      <c r="F214" s="4"/>
      <c r="G214" s="4"/>
      <c r="H214" s="4"/>
      <c r="I214" s="4"/>
      <c r="J214" s="4"/>
      <c r="K214" s="4"/>
      <c r="L214" s="4"/>
      <c r="M214" s="4"/>
      <c r="N214" s="4"/>
      <c r="O214" s="4"/>
      <c r="P214" s="4"/>
      <c r="Q214" s="4"/>
      <c r="R214" s="4"/>
    </row>
    <row r="215" ht="12.75" customHeight="1">
      <c r="B215" s="4"/>
      <c r="C215" s="4"/>
      <c r="D215" s="4"/>
      <c r="E215" s="4"/>
      <c r="F215" s="4"/>
      <c r="G215" s="4"/>
      <c r="H215" s="4"/>
      <c r="I215" s="4"/>
      <c r="J215" s="4"/>
      <c r="K215" s="4"/>
      <c r="L215" s="4"/>
      <c r="M215" s="4"/>
      <c r="N215" s="4"/>
      <c r="O215" s="4"/>
      <c r="P215" s="4"/>
      <c r="Q215" s="4"/>
      <c r="R215" s="4"/>
    </row>
    <row r="216" ht="12.75" customHeight="1">
      <c r="B216" s="4"/>
      <c r="C216" s="4"/>
      <c r="D216" s="4"/>
      <c r="E216" s="4"/>
      <c r="F216" s="4"/>
      <c r="G216" s="4"/>
      <c r="H216" s="4"/>
      <c r="I216" s="4"/>
      <c r="J216" s="4"/>
      <c r="K216" s="4"/>
      <c r="L216" s="4"/>
      <c r="M216" s="4"/>
      <c r="N216" s="4"/>
      <c r="O216" s="4"/>
      <c r="P216" s="4"/>
      <c r="Q216" s="4"/>
      <c r="R216" s="4"/>
    </row>
    <row r="217" ht="12.75" customHeight="1">
      <c r="B217" s="4"/>
      <c r="C217" s="4"/>
      <c r="D217" s="4"/>
      <c r="E217" s="4"/>
      <c r="F217" s="4"/>
      <c r="G217" s="4"/>
      <c r="H217" s="4"/>
      <c r="I217" s="4"/>
      <c r="J217" s="4"/>
      <c r="K217" s="4"/>
      <c r="L217" s="4"/>
      <c r="M217" s="4"/>
      <c r="N217" s="4"/>
      <c r="O217" s="4"/>
      <c r="P217" s="4"/>
      <c r="Q217" s="4"/>
      <c r="R217" s="4"/>
    </row>
    <row r="218" ht="12.75" customHeight="1">
      <c r="B218" s="4"/>
      <c r="C218" s="4"/>
      <c r="D218" s="4"/>
      <c r="E218" s="4"/>
      <c r="F218" s="4"/>
      <c r="G218" s="4"/>
      <c r="H218" s="4"/>
      <c r="I218" s="4"/>
      <c r="J218" s="4"/>
      <c r="K218" s="4"/>
      <c r="L218" s="4"/>
      <c r="M218" s="4"/>
      <c r="N218" s="4"/>
      <c r="O218" s="4"/>
      <c r="P218" s="4"/>
      <c r="Q218" s="4"/>
      <c r="R218" s="4"/>
    </row>
    <row r="219" ht="12.75" customHeight="1">
      <c r="B219" s="4"/>
      <c r="C219" s="4"/>
      <c r="D219" s="4"/>
      <c r="E219" s="4"/>
      <c r="F219" s="4"/>
      <c r="G219" s="4"/>
      <c r="H219" s="4"/>
      <c r="I219" s="4"/>
      <c r="J219" s="4"/>
      <c r="K219" s="4"/>
      <c r="L219" s="4"/>
      <c r="M219" s="4"/>
      <c r="N219" s="4"/>
      <c r="O219" s="4"/>
      <c r="P219" s="4"/>
      <c r="Q219" s="4"/>
      <c r="R219" s="4"/>
    </row>
    <row r="220" ht="12.75" customHeight="1">
      <c r="B220" s="4"/>
      <c r="C220" s="4"/>
      <c r="D220" s="4"/>
      <c r="E220" s="4"/>
      <c r="F220" s="4"/>
      <c r="G220" s="4"/>
      <c r="H220" s="4"/>
      <c r="I220" s="4"/>
      <c r="J220" s="4"/>
      <c r="K220" s="4"/>
      <c r="L220" s="4"/>
      <c r="M220" s="4"/>
      <c r="N220" s="4"/>
      <c r="O220" s="4"/>
      <c r="P220" s="4"/>
      <c r="Q220" s="4"/>
      <c r="R220" s="4"/>
    </row>
    <row r="221" ht="12.75" customHeight="1">
      <c r="B221" s="4"/>
      <c r="C221" s="4"/>
      <c r="D221" s="4"/>
      <c r="E221" s="4"/>
      <c r="F221" s="4"/>
      <c r="G221" s="4"/>
      <c r="H221" s="4"/>
      <c r="I221" s="4"/>
      <c r="J221" s="4"/>
      <c r="K221" s="4"/>
      <c r="L221" s="4"/>
      <c r="M221" s="4"/>
      <c r="N221" s="4"/>
      <c r="O221" s="4"/>
      <c r="P221" s="4"/>
      <c r="Q221" s="4"/>
      <c r="R221" s="4"/>
    </row>
    <row r="222" ht="12.75" customHeight="1">
      <c r="B222" s="4"/>
      <c r="C222" s="4"/>
      <c r="D222" s="4"/>
      <c r="E222" s="4"/>
      <c r="F222" s="4"/>
      <c r="G222" s="4"/>
      <c r="H222" s="4"/>
      <c r="I222" s="4"/>
      <c r="J222" s="4"/>
      <c r="K222" s="4"/>
      <c r="L222" s="4"/>
      <c r="M222" s="4"/>
      <c r="N222" s="4"/>
      <c r="O222" s="4"/>
      <c r="P222" s="4"/>
      <c r="Q222" s="4"/>
      <c r="R222" s="4"/>
    </row>
    <row r="223" ht="12.75" customHeight="1">
      <c r="B223" s="4"/>
      <c r="C223" s="4"/>
      <c r="D223" s="4"/>
      <c r="E223" s="4"/>
      <c r="F223" s="4"/>
      <c r="G223" s="4"/>
      <c r="H223" s="4"/>
      <c r="I223" s="4"/>
      <c r="J223" s="4"/>
      <c r="K223" s="4"/>
      <c r="L223" s="4"/>
      <c r="M223" s="4"/>
      <c r="N223" s="4"/>
      <c r="O223" s="4"/>
      <c r="P223" s="4"/>
      <c r="Q223" s="4"/>
      <c r="R223" s="4"/>
    </row>
    <row r="224" ht="12.75" customHeight="1">
      <c r="B224" s="4"/>
      <c r="C224" s="4"/>
      <c r="D224" s="4"/>
      <c r="E224" s="4"/>
      <c r="F224" s="4"/>
      <c r="G224" s="4"/>
      <c r="H224" s="4"/>
      <c r="I224" s="4"/>
      <c r="J224" s="4"/>
      <c r="K224" s="4"/>
      <c r="L224" s="4"/>
      <c r="M224" s="4"/>
      <c r="N224" s="4"/>
      <c r="O224" s="4"/>
      <c r="P224" s="4"/>
      <c r="Q224" s="4"/>
      <c r="R224" s="4"/>
    </row>
    <row r="225" ht="12.75" customHeight="1">
      <c r="B225" s="4"/>
      <c r="C225" s="4"/>
      <c r="D225" s="4"/>
      <c r="E225" s="4"/>
      <c r="F225" s="4"/>
      <c r="G225" s="4"/>
      <c r="H225" s="4"/>
      <c r="I225" s="4"/>
      <c r="J225" s="4"/>
      <c r="K225" s="4"/>
      <c r="L225" s="4"/>
      <c r="M225" s="4"/>
      <c r="N225" s="4"/>
      <c r="O225" s="4"/>
      <c r="P225" s="4"/>
      <c r="Q225" s="4"/>
      <c r="R225" s="4"/>
    </row>
    <row r="226" ht="12.75" customHeight="1">
      <c r="B226" s="4"/>
      <c r="C226" s="4"/>
      <c r="D226" s="4"/>
      <c r="E226" s="4"/>
      <c r="F226" s="4"/>
      <c r="G226" s="4"/>
      <c r="H226" s="4"/>
      <c r="I226" s="4"/>
      <c r="J226" s="4"/>
      <c r="K226" s="4"/>
      <c r="L226" s="4"/>
      <c r="M226" s="4"/>
      <c r="N226" s="4"/>
      <c r="O226" s="4"/>
      <c r="P226" s="4"/>
      <c r="Q226" s="4"/>
      <c r="R226" s="4"/>
    </row>
    <row r="227" ht="12.75" customHeight="1">
      <c r="B227" s="4"/>
      <c r="C227" s="4"/>
      <c r="D227" s="4"/>
      <c r="E227" s="4"/>
      <c r="F227" s="4"/>
      <c r="G227" s="4"/>
      <c r="H227" s="4"/>
      <c r="I227" s="4"/>
      <c r="J227" s="4"/>
      <c r="K227" s="4"/>
      <c r="L227" s="4"/>
      <c r="M227" s="4"/>
      <c r="N227" s="4"/>
      <c r="O227" s="4"/>
      <c r="P227" s="4"/>
      <c r="Q227" s="4"/>
      <c r="R227" s="4"/>
    </row>
    <row r="228" ht="12.75" customHeight="1">
      <c r="B228" s="4"/>
      <c r="C228" s="4"/>
      <c r="D228" s="4"/>
      <c r="E228" s="4"/>
      <c r="F228" s="4"/>
      <c r="G228" s="4"/>
      <c r="H228" s="4"/>
      <c r="I228" s="4"/>
      <c r="J228" s="4"/>
      <c r="K228" s="4"/>
      <c r="L228" s="4"/>
      <c r="M228" s="4"/>
      <c r="N228" s="4"/>
      <c r="O228" s="4"/>
      <c r="P228" s="4"/>
      <c r="Q228" s="4"/>
      <c r="R228" s="4"/>
    </row>
    <row r="229" ht="12.75" customHeight="1">
      <c r="B229" s="4"/>
      <c r="C229" s="4"/>
      <c r="D229" s="4"/>
      <c r="E229" s="4"/>
      <c r="F229" s="4"/>
      <c r="G229" s="4"/>
      <c r="H229" s="4"/>
      <c r="I229" s="4"/>
      <c r="J229" s="4"/>
      <c r="K229" s="4"/>
      <c r="L229" s="4"/>
      <c r="M229" s="4"/>
      <c r="N229" s="4"/>
      <c r="O229" s="4"/>
      <c r="P229" s="4"/>
      <c r="Q229" s="4"/>
      <c r="R229" s="4"/>
    </row>
    <row r="230" ht="12.75" customHeight="1">
      <c r="B230" s="4"/>
      <c r="C230" s="4"/>
      <c r="D230" s="4"/>
      <c r="E230" s="4"/>
      <c r="F230" s="4"/>
      <c r="G230" s="4"/>
      <c r="H230" s="4"/>
      <c r="I230" s="4"/>
      <c r="J230" s="4"/>
      <c r="K230" s="4"/>
      <c r="L230" s="4"/>
      <c r="M230" s="4"/>
      <c r="N230" s="4"/>
      <c r="O230" s="4"/>
      <c r="P230" s="4"/>
      <c r="Q230" s="4"/>
      <c r="R230" s="4"/>
    </row>
    <row r="231" ht="12.75" customHeight="1">
      <c r="B231" s="4"/>
      <c r="C231" s="4"/>
      <c r="D231" s="4"/>
      <c r="E231" s="4"/>
      <c r="F231" s="4"/>
      <c r="G231" s="4"/>
      <c r="H231" s="4"/>
      <c r="I231" s="4"/>
      <c r="J231" s="4"/>
      <c r="K231" s="4"/>
      <c r="L231" s="4"/>
      <c r="M231" s="4"/>
      <c r="N231" s="4"/>
      <c r="O231" s="4"/>
      <c r="P231" s="4"/>
      <c r="Q231" s="4"/>
      <c r="R231" s="4"/>
    </row>
    <row r="232" ht="12.75" customHeight="1">
      <c r="B232" s="4"/>
      <c r="C232" s="4"/>
      <c r="D232" s="4"/>
      <c r="E232" s="4"/>
      <c r="F232" s="4"/>
      <c r="G232" s="4"/>
      <c r="H232" s="4"/>
      <c r="I232" s="4"/>
      <c r="J232" s="4"/>
      <c r="K232" s="4"/>
      <c r="L232" s="4"/>
      <c r="M232" s="4"/>
      <c r="N232" s="4"/>
      <c r="O232" s="4"/>
      <c r="P232" s="4"/>
      <c r="Q232" s="4"/>
      <c r="R232" s="4"/>
    </row>
    <row r="233" ht="12.75" customHeight="1">
      <c r="B233" s="4"/>
      <c r="C233" s="4"/>
      <c r="D233" s="4"/>
      <c r="E233" s="4"/>
      <c r="F233" s="4"/>
      <c r="G233" s="4"/>
      <c r="H233" s="4"/>
      <c r="I233" s="4"/>
      <c r="J233" s="4"/>
      <c r="K233" s="4"/>
      <c r="L233" s="4"/>
      <c r="M233" s="4"/>
      <c r="N233" s="4"/>
      <c r="O233" s="4"/>
      <c r="P233" s="4"/>
      <c r="Q233" s="4"/>
      <c r="R233" s="4"/>
    </row>
    <row r="234" ht="12.75" customHeight="1">
      <c r="B234" s="4"/>
      <c r="C234" s="4"/>
      <c r="D234" s="4"/>
      <c r="E234" s="4"/>
      <c r="F234" s="4"/>
      <c r="G234" s="4"/>
      <c r="H234" s="4"/>
      <c r="I234" s="4"/>
      <c r="J234" s="4"/>
      <c r="K234" s="4"/>
      <c r="L234" s="4"/>
      <c r="M234" s="4"/>
      <c r="N234" s="4"/>
      <c r="O234" s="4"/>
      <c r="P234" s="4"/>
      <c r="Q234" s="4"/>
      <c r="R234" s="4"/>
    </row>
    <row r="235" ht="12.75" customHeight="1">
      <c r="B235" s="4"/>
      <c r="C235" s="4"/>
      <c r="D235" s="4"/>
      <c r="E235" s="4"/>
      <c r="F235" s="4"/>
      <c r="G235" s="4"/>
      <c r="H235" s="4"/>
      <c r="I235" s="4"/>
      <c r="J235" s="4"/>
      <c r="K235" s="4"/>
      <c r="L235" s="4"/>
      <c r="M235" s="4"/>
      <c r="N235" s="4"/>
      <c r="O235" s="4"/>
      <c r="P235" s="4"/>
      <c r="Q235" s="4"/>
      <c r="R235" s="4"/>
    </row>
    <row r="236" ht="12.75" customHeight="1">
      <c r="B236" s="4"/>
      <c r="C236" s="4"/>
      <c r="D236" s="4"/>
      <c r="E236" s="4"/>
      <c r="F236" s="4"/>
      <c r="G236" s="4"/>
      <c r="H236" s="4"/>
      <c r="I236" s="4"/>
      <c r="J236" s="4"/>
      <c r="K236" s="4"/>
      <c r="L236" s="4"/>
      <c r="M236" s="4"/>
      <c r="N236" s="4"/>
      <c r="O236" s="4"/>
      <c r="P236" s="4"/>
      <c r="Q236" s="4"/>
      <c r="R236" s="4"/>
    </row>
    <row r="237" ht="12.75" customHeight="1">
      <c r="B237" s="4"/>
      <c r="C237" s="4"/>
      <c r="D237" s="4"/>
      <c r="E237" s="4"/>
      <c r="F237" s="4"/>
      <c r="G237" s="4"/>
      <c r="H237" s="4"/>
      <c r="I237" s="4"/>
      <c r="J237" s="4"/>
      <c r="K237" s="4"/>
      <c r="L237" s="4"/>
      <c r="M237" s="4"/>
      <c r="N237" s="4"/>
      <c r="O237" s="4"/>
      <c r="P237" s="4"/>
      <c r="Q237" s="4"/>
      <c r="R237" s="4"/>
    </row>
    <row r="238" ht="12.75" customHeight="1">
      <c r="B238" s="4"/>
      <c r="C238" s="4"/>
      <c r="D238" s="4"/>
      <c r="E238" s="4"/>
      <c r="F238" s="4"/>
      <c r="G238" s="4"/>
      <c r="H238" s="4"/>
      <c r="I238" s="4"/>
      <c r="J238" s="4"/>
      <c r="K238" s="4"/>
      <c r="L238" s="4"/>
      <c r="M238" s="4"/>
      <c r="N238" s="4"/>
      <c r="O238" s="4"/>
      <c r="P238" s="4"/>
      <c r="Q238" s="4"/>
      <c r="R238" s="4"/>
    </row>
    <row r="239" ht="12.75" customHeight="1">
      <c r="B239" s="4"/>
      <c r="C239" s="4"/>
      <c r="D239" s="4"/>
      <c r="E239" s="4"/>
      <c r="F239" s="4"/>
      <c r="G239" s="4"/>
      <c r="H239" s="4"/>
      <c r="I239" s="4"/>
      <c r="J239" s="4"/>
      <c r="K239" s="4"/>
      <c r="L239" s="4"/>
      <c r="M239" s="4"/>
      <c r="N239" s="4"/>
      <c r="O239" s="4"/>
      <c r="P239" s="4"/>
      <c r="Q239" s="4"/>
      <c r="R239" s="4"/>
    </row>
    <row r="240" ht="12.75" customHeight="1">
      <c r="B240" s="4"/>
      <c r="C240" s="4"/>
      <c r="D240" s="4"/>
      <c r="E240" s="4"/>
      <c r="F240" s="4"/>
      <c r="G240" s="4"/>
      <c r="H240" s="4"/>
      <c r="I240" s="4"/>
      <c r="J240" s="4"/>
      <c r="K240" s="4"/>
      <c r="L240" s="4"/>
      <c r="M240" s="4"/>
      <c r="N240" s="4"/>
      <c r="O240" s="4"/>
      <c r="P240" s="4"/>
      <c r="Q240" s="4"/>
      <c r="R240" s="4"/>
    </row>
    <row r="241" ht="12.75" customHeight="1">
      <c r="B241" s="4"/>
      <c r="C241" s="4"/>
      <c r="D241" s="4"/>
      <c r="E241" s="4"/>
      <c r="F241" s="4"/>
      <c r="G241" s="4"/>
      <c r="H241" s="4"/>
      <c r="I241" s="4"/>
      <c r="J241" s="4"/>
      <c r="K241" s="4"/>
      <c r="L241" s="4"/>
      <c r="M241" s="4"/>
      <c r="N241" s="4"/>
      <c r="O241" s="4"/>
      <c r="P241" s="4"/>
      <c r="Q241" s="4"/>
      <c r="R241" s="4"/>
    </row>
    <row r="242" ht="12.75" customHeight="1">
      <c r="B242" s="4"/>
      <c r="C242" s="4"/>
      <c r="D242" s="4"/>
      <c r="E242" s="4"/>
      <c r="F242" s="4"/>
      <c r="G242" s="4"/>
      <c r="H242" s="4"/>
      <c r="I242" s="4"/>
      <c r="J242" s="4"/>
      <c r="K242" s="4"/>
      <c r="L242" s="4"/>
      <c r="M242" s="4"/>
      <c r="N242" s="4"/>
      <c r="O242" s="4"/>
      <c r="P242" s="4"/>
      <c r="Q242" s="4"/>
      <c r="R242" s="4"/>
    </row>
    <row r="243" ht="12.75" customHeight="1">
      <c r="B243" s="4"/>
      <c r="C243" s="4"/>
      <c r="D243" s="4"/>
      <c r="E243" s="4"/>
      <c r="F243" s="4"/>
      <c r="G243" s="4"/>
      <c r="H243" s="4"/>
      <c r="I243" s="4"/>
      <c r="J243" s="4"/>
      <c r="K243" s="4"/>
      <c r="L243" s="4"/>
      <c r="M243" s="4"/>
      <c r="N243" s="4"/>
      <c r="O243" s="4"/>
      <c r="P243" s="4"/>
      <c r="Q243" s="4"/>
      <c r="R243" s="4"/>
    </row>
    <row r="244" ht="12.75" customHeight="1">
      <c r="B244" s="4"/>
      <c r="C244" s="4"/>
      <c r="D244" s="4"/>
      <c r="E244" s="4"/>
      <c r="F244" s="4"/>
      <c r="G244" s="4"/>
      <c r="H244" s="4"/>
      <c r="I244" s="4"/>
      <c r="J244" s="4"/>
      <c r="K244" s="4"/>
      <c r="L244" s="4"/>
      <c r="M244" s="4"/>
      <c r="N244" s="4"/>
      <c r="O244" s="4"/>
      <c r="P244" s="4"/>
      <c r="Q244" s="4"/>
      <c r="R244" s="4"/>
    </row>
    <row r="245" ht="12.75" customHeight="1">
      <c r="B245" s="4"/>
      <c r="C245" s="4"/>
      <c r="D245" s="4"/>
      <c r="E245" s="4"/>
      <c r="F245" s="4"/>
      <c r="G245" s="4"/>
      <c r="H245" s="4"/>
      <c r="I245" s="4"/>
      <c r="J245" s="4"/>
      <c r="K245" s="4"/>
      <c r="L245" s="4"/>
      <c r="M245" s="4"/>
      <c r="N245" s="4"/>
      <c r="O245" s="4"/>
      <c r="P245" s="4"/>
      <c r="Q245" s="4"/>
      <c r="R245" s="4"/>
    </row>
    <row r="246" ht="12.75" customHeight="1">
      <c r="B246" s="4"/>
      <c r="C246" s="4"/>
      <c r="D246" s="4"/>
      <c r="E246" s="4"/>
      <c r="F246" s="4"/>
      <c r="G246" s="4"/>
      <c r="H246" s="4"/>
      <c r="I246" s="4"/>
      <c r="J246" s="4"/>
      <c r="K246" s="4"/>
      <c r="L246" s="4"/>
      <c r="M246" s="4"/>
      <c r="N246" s="4"/>
      <c r="O246" s="4"/>
      <c r="P246" s="4"/>
      <c r="Q246" s="4"/>
      <c r="R246" s="4"/>
    </row>
    <row r="247" ht="12.75" customHeight="1">
      <c r="B247" s="4"/>
      <c r="C247" s="4"/>
      <c r="D247" s="4"/>
      <c r="E247" s="4"/>
      <c r="F247" s="4"/>
      <c r="G247" s="4"/>
      <c r="H247" s="4"/>
      <c r="I247" s="4"/>
      <c r="J247" s="4"/>
      <c r="K247" s="4"/>
      <c r="L247" s="4"/>
      <c r="M247" s="4"/>
      <c r="N247" s="4"/>
      <c r="O247" s="4"/>
      <c r="P247" s="4"/>
      <c r="Q247" s="4"/>
      <c r="R247" s="4"/>
    </row>
    <row r="248" ht="12.75" customHeight="1">
      <c r="B248" s="4"/>
      <c r="C248" s="4"/>
      <c r="D248" s="4"/>
      <c r="E248" s="4"/>
      <c r="F248" s="4"/>
      <c r="G248" s="4"/>
      <c r="H248" s="4"/>
      <c r="I248" s="4"/>
      <c r="J248" s="4"/>
      <c r="K248" s="4"/>
      <c r="L248" s="4"/>
      <c r="M248" s="4"/>
      <c r="N248" s="4"/>
      <c r="O248" s="4"/>
      <c r="P248" s="4"/>
      <c r="Q248" s="4"/>
      <c r="R248" s="4"/>
    </row>
    <row r="249" ht="12.75" customHeight="1">
      <c r="B249" s="4"/>
      <c r="C249" s="4"/>
      <c r="D249" s="4"/>
      <c r="E249" s="4"/>
      <c r="F249" s="4"/>
      <c r="G249" s="4"/>
      <c r="H249" s="4"/>
      <c r="I249" s="4"/>
      <c r="J249" s="4"/>
      <c r="K249" s="4"/>
      <c r="L249" s="4"/>
      <c r="M249" s="4"/>
      <c r="N249" s="4"/>
      <c r="O249" s="4"/>
      <c r="P249" s="4"/>
      <c r="Q249" s="4"/>
      <c r="R249" s="4"/>
    </row>
    <row r="250" ht="12.75" customHeight="1">
      <c r="B250" s="4"/>
      <c r="C250" s="4"/>
      <c r="D250" s="4"/>
      <c r="E250" s="4"/>
      <c r="F250" s="4"/>
      <c r="G250" s="4"/>
      <c r="H250" s="4"/>
      <c r="I250" s="4"/>
      <c r="J250" s="4"/>
      <c r="K250" s="4"/>
      <c r="L250" s="4"/>
      <c r="M250" s="4"/>
      <c r="N250" s="4"/>
      <c r="O250" s="4"/>
      <c r="P250" s="4"/>
      <c r="Q250" s="4"/>
      <c r="R250" s="4"/>
    </row>
    <row r="251" ht="12.75" customHeight="1">
      <c r="B251" s="4"/>
      <c r="C251" s="4"/>
      <c r="D251" s="4"/>
      <c r="E251" s="4"/>
      <c r="F251" s="4"/>
      <c r="G251" s="4"/>
      <c r="H251" s="4"/>
      <c r="I251" s="4"/>
      <c r="J251" s="4"/>
      <c r="K251" s="4"/>
      <c r="L251" s="4"/>
      <c r="M251" s="4"/>
      <c r="N251" s="4"/>
      <c r="O251" s="4"/>
      <c r="P251" s="4"/>
      <c r="Q251" s="4"/>
      <c r="R251" s="4"/>
    </row>
    <row r="252" ht="12.75" customHeight="1">
      <c r="B252" s="4"/>
      <c r="C252" s="4"/>
      <c r="D252" s="4"/>
      <c r="E252" s="4"/>
      <c r="F252" s="4"/>
      <c r="G252" s="4"/>
      <c r="H252" s="4"/>
      <c r="I252" s="4"/>
      <c r="J252" s="4"/>
      <c r="K252" s="4"/>
      <c r="L252" s="4"/>
      <c r="M252" s="4"/>
      <c r="N252" s="4"/>
      <c r="O252" s="4"/>
      <c r="P252" s="4"/>
      <c r="Q252" s="4"/>
      <c r="R252" s="4"/>
    </row>
    <row r="253" ht="12.75" customHeight="1">
      <c r="B253" s="4"/>
      <c r="C253" s="4"/>
      <c r="D253" s="4"/>
      <c r="E253" s="4"/>
      <c r="F253" s="4"/>
      <c r="G253" s="4"/>
      <c r="H253" s="4"/>
      <c r="I253" s="4"/>
      <c r="J253" s="4"/>
      <c r="K253" s="4"/>
      <c r="L253" s="4"/>
      <c r="M253" s="4"/>
      <c r="N253" s="4"/>
      <c r="O253" s="4"/>
      <c r="P253" s="4"/>
      <c r="Q253" s="4"/>
      <c r="R253" s="4"/>
    </row>
    <row r="254" ht="12.75" customHeight="1">
      <c r="B254" s="4"/>
      <c r="C254" s="4"/>
      <c r="D254" s="4"/>
      <c r="E254" s="4"/>
      <c r="F254" s="4"/>
      <c r="G254" s="4"/>
      <c r="H254" s="4"/>
      <c r="I254" s="4"/>
      <c r="J254" s="4"/>
      <c r="K254" s="4"/>
      <c r="L254" s="4"/>
      <c r="M254" s="4"/>
      <c r="N254" s="4"/>
      <c r="O254" s="4"/>
      <c r="P254" s="4"/>
      <c r="Q254" s="4"/>
      <c r="R254" s="4"/>
    </row>
    <row r="255" ht="12.75" customHeight="1">
      <c r="B255" s="4"/>
      <c r="C255" s="4"/>
      <c r="D255" s="4"/>
      <c r="E255" s="4"/>
      <c r="F255" s="4"/>
      <c r="G255" s="4"/>
      <c r="H255" s="4"/>
      <c r="I255" s="4"/>
      <c r="J255" s="4"/>
      <c r="K255" s="4"/>
      <c r="L255" s="4"/>
      <c r="M255" s="4"/>
      <c r="N255" s="4"/>
      <c r="O255" s="4"/>
      <c r="P255" s="4"/>
      <c r="Q255" s="4"/>
      <c r="R255" s="4"/>
    </row>
    <row r="256" ht="12.75" customHeight="1">
      <c r="B256" s="4"/>
      <c r="C256" s="4"/>
      <c r="D256" s="4"/>
      <c r="E256" s="4"/>
      <c r="F256" s="4"/>
      <c r="G256" s="4"/>
      <c r="H256" s="4"/>
      <c r="I256" s="4"/>
      <c r="J256" s="4"/>
      <c r="K256" s="4"/>
      <c r="L256" s="4"/>
      <c r="M256" s="4"/>
      <c r="N256" s="4"/>
      <c r="O256" s="4"/>
      <c r="P256" s="4"/>
      <c r="Q256" s="4"/>
      <c r="R256" s="4"/>
    </row>
    <row r="257" ht="12.75" customHeight="1">
      <c r="B257" s="4"/>
      <c r="C257" s="4"/>
      <c r="D257" s="4"/>
      <c r="E257" s="4"/>
      <c r="F257" s="4"/>
      <c r="G257" s="4"/>
      <c r="H257" s="4"/>
      <c r="I257" s="4"/>
      <c r="J257" s="4"/>
      <c r="K257" s="4"/>
      <c r="L257" s="4"/>
      <c r="M257" s="4"/>
      <c r="N257" s="4"/>
      <c r="O257" s="4"/>
      <c r="P257" s="4"/>
      <c r="Q257" s="4"/>
      <c r="R257" s="4"/>
    </row>
    <row r="258" ht="12.75" customHeight="1">
      <c r="B258" s="4"/>
      <c r="C258" s="4"/>
      <c r="D258" s="4"/>
      <c r="E258" s="4"/>
      <c r="F258" s="4"/>
      <c r="G258" s="4"/>
      <c r="H258" s="4"/>
      <c r="I258" s="4"/>
      <c r="J258" s="4"/>
      <c r="K258" s="4"/>
      <c r="L258" s="4"/>
      <c r="M258" s="4"/>
      <c r="N258" s="4"/>
      <c r="O258" s="4"/>
      <c r="P258" s="4"/>
      <c r="Q258" s="4"/>
      <c r="R258" s="4"/>
    </row>
    <row r="259" ht="12.75" customHeight="1">
      <c r="B259" s="4"/>
      <c r="C259" s="4"/>
      <c r="D259" s="4"/>
      <c r="E259" s="4"/>
      <c r="F259" s="4"/>
      <c r="G259" s="4"/>
      <c r="H259" s="4"/>
      <c r="I259" s="4"/>
      <c r="J259" s="4"/>
      <c r="K259" s="4"/>
      <c r="L259" s="4"/>
      <c r="M259" s="4"/>
      <c r="N259" s="4"/>
      <c r="O259" s="4"/>
      <c r="P259" s="4"/>
      <c r="Q259" s="4"/>
      <c r="R259" s="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M1"/>
    <mergeCell ref="B2:M2"/>
    <mergeCell ref="B3:M3"/>
    <mergeCell ref="B7:N14"/>
    <mergeCell ref="B17:N17"/>
    <mergeCell ref="B19:C19"/>
    <mergeCell ref="D19:N19"/>
    <mergeCell ref="B23:C23"/>
    <mergeCell ref="B24:C24"/>
    <mergeCell ref="B25:C25"/>
    <mergeCell ref="B26:C26"/>
    <mergeCell ref="B27:C27"/>
    <mergeCell ref="B28:C28"/>
    <mergeCell ref="B20:C20"/>
    <mergeCell ref="D20:N20"/>
    <mergeCell ref="B21:C21"/>
    <mergeCell ref="D21:N21"/>
    <mergeCell ref="B22:C22"/>
    <mergeCell ref="D22:N22"/>
    <mergeCell ref="D23:N23"/>
    <mergeCell ref="B48:N50"/>
    <mergeCell ref="B53:N53"/>
    <mergeCell ref="B60:N71"/>
    <mergeCell ref="C72:N72"/>
    <mergeCell ref="B74:N74"/>
    <mergeCell ref="D24:N24"/>
    <mergeCell ref="D25:N25"/>
    <mergeCell ref="D26:N26"/>
    <mergeCell ref="D27:N27"/>
    <mergeCell ref="D28:N28"/>
    <mergeCell ref="B33:N40"/>
    <mergeCell ref="B43:N4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1.63"/>
    <col customWidth="1" min="2" max="2" width="19.5"/>
    <col customWidth="1" hidden="1" min="3" max="3" width="9.0"/>
    <col customWidth="1" min="4" max="4" width="55.13"/>
    <col customWidth="1" min="5" max="5" width="34.63"/>
    <col customWidth="1" min="6" max="6" width="35.38"/>
    <col customWidth="1" min="7" max="7" width="47.38"/>
    <col customWidth="1" min="8" max="8" width="17.5"/>
    <col customWidth="1" min="9" max="27" width="12.63"/>
  </cols>
  <sheetData>
    <row r="1" ht="28.5" customHeight="1">
      <c r="A1" s="20" t="s">
        <v>41</v>
      </c>
      <c r="B1" s="2"/>
      <c r="C1" s="2"/>
      <c r="D1" s="2"/>
      <c r="E1" s="2"/>
      <c r="F1" s="2"/>
      <c r="G1" s="3"/>
      <c r="H1" s="21"/>
      <c r="I1" s="22"/>
      <c r="J1" s="22"/>
      <c r="K1" s="22"/>
      <c r="L1" s="22"/>
      <c r="M1" s="22"/>
      <c r="N1" s="22"/>
      <c r="O1" s="22"/>
      <c r="P1" s="22"/>
      <c r="Q1" s="22"/>
      <c r="R1" s="22"/>
      <c r="S1" s="22"/>
      <c r="T1" s="22"/>
      <c r="U1" s="22"/>
      <c r="V1" s="22"/>
      <c r="W1" s="22"/>
      <c r="X1" s="22"/>
      <c r="Y1" s="22"/>
      <c r="Z1" s="22"/>
      <c r="AA1" s="22"/>
    </row>
    <row r="2" ht="15.75" customHeight="1">
      <c r="A2" s="23" t="s">
        <v>42</v>
      </c>
      <c r="H2" s="24"/>
      <c r="I2" s="25"/>
      <c r="J2" s="25"/>
      <c r="K2" s="25"/>
      <c r="L2" s="25"/>
      <c r="M2" s="25"/>
      <c r="N2" s="25"/>
      <c r="O2" s="25"/>
      <c r="P2" s="25"/>
      <c r="Q2" s="25"/>
      <c r="R2" s="25"/>
      <c r="S2" s="25"/>
      <c r="T2" s="25"/>
      <c r="U2" s="25"/>
      <c r="V2" s="25"/>
      <c r="W2" s="25"/>
      <c r="X2" s="25"/>
      <c r="Y2" s="25"/>
      <c r="Z2" s="25"/>
      <c r="AA2" s="25"/>
    </row>
    <row r="3" ht="4.5" customHeight="1">
      <c r="A3" s="26"/>
      <c r="B3" s="27"/>
      <c r="C3" s="27"/>
      <c r="D3" s="27"/>
      <c r="E3" s="27"/>
      <c r="F3" s="27"/>
      <c r="G3" s="28"/>
      <c r="H3" s="29"/>
      <c r="I3" s="25"/>
      <c r="J3" s="25"/>
      <c r="K3" s="25"/>
      <c r="L3" s="25"/>
      <c r="M3" s="25"/>
      <c r="N3" s="25"/>
      <c r="O3" s="25"/>
      <c r="P3" s="25"/>
      <c r="Q3" s="25"/>
      <c r="R3" s="25"/>
      <c r="S3" s="25"/>
      <c r="T3" s="25"/>
      <c r="U3" s="25"/>
      <c r="V3" s="25"/>
      <c r="W3" s="25"/>
      <c r="X3" s="25"/>
      <c r="Y3" s="25"/>
      <c r="Z3" s="25"/>
      <c r="AA3" s="25"/>
    </row>
    <row r="4" ht="31.5" customHeight="1">
      <c r="A4" s="30"/>
      <c r="B4" s="31">
        <v>1.0</v>
      </c>
      <c r="C4" s="31"/>
      <c r="D4" s="32" t="s">
        <v>43</v>
      </c>
      <c r="E4" s="31" t="s">
        <v>44</v>
      </c>
      <c r="F4" s="31" t="s">
        <v>45</v>
      </c>
      <c r="G4" s="31" t="s">
        <v>46</v>
      </c>
      <c r="H4" s="25"/>
      <c r="I4" s="25"/>
      <c r="J4" s="25"/>
      <c r="K4" s="25"/>
      <c r="L4" s="25"/>
      <c r="M4" s="25"/>
      <c r="N4" s="25"/>
      <c r="O4" s="25"/>
      <c r="P4" s="25"/>
      <c r="Q4" s="25"/>
      <c r="R4" s="25"/>
      <c r="S4" s="25"/>
      <c r="T4" s="25"/>
      <c r="U4" s="25"/>
      <c r="V4" s="25"/>
      <c r="W4" s="25"/>
      <c r="X4" s="25"/>
      <c r="Y4" s="25"/>
      <c r="Z4" s="25"/>
    </row>
    <row r="5" ht="34.5" customHeight="1">
      <c r="A5" s="33"/>
      <c r="B5" s="34" t="s">
        <v>47</v>
      </c>
      <c r="C5" s="35" t="s">
        <v>48</v>
      </c>
      <c r="D5" s="36" t="s">
        <v>49</v>
      </c>
      <c r="E5" s="37"/>
      <c r="F5" s="38"/>
      <c r="G5" s="39" t="s">
        <v>50</v>
      </c>
      <c r="H5" s="25"/>
      <c r="I5" s="25"/>
      <c r="J5" s="25"/>
      <c r="K5" s="25"/>
      <c r="L5" s="25"/>
      <c r="M5" s="25"/>
      <c r="N5" s="25"/>
      <c r="O5" s="25"/>
      <c r="P5" s="25"/>
      <c r="Q5" s="25"/>
      <c r="R5" s="25"/>
      <c r="S5" s="25"/>
      <c r="T5" s="25"/>
      <c r="U5" s="25"/>
      <c r="V5" s="25"/>
      <c r="W5" s="25"/>
      <c r="X5" s="25"/>
      <c r="Y5" s="25"/>
      <c r="Z5" s="25"/>
    </row>
    <row r="6" ht="15.75" customHeight="1">
      <c r="A6" s="33"/>
      <c r="B6" s="40"/>
      <c r="C6" s="35" t="s">
        <v>51</v>
      </c>
      <c r="D6" s="36" t="s">
        <v>52</v>
      </c>
      <c r="E6" s="41"/>
      <c r="F6" s="38"/>
      <c r="G6" s="36"/>
      <c r="H6" s="25"/>
      <c r="I6" s="25"/>
      <c r="J6" s="25"/>
      <c r="K6" s="25"/>
      <c r="L6" s="25"/>
      <c r="M6" s="25"/>
      <c r="N6" s="25"/>
      <c r="O6" s="25"/>
      <c r="P6" s="25"/>
      <c r="Q6" s="25"/>
      <c r="R6" s="25"/>
      <c r="S6" s="25"/>
      <c r="T6" s="25"/>
      <c r="U6" s="25"/>
      <c r="V6" s="25"/>
      <c r="W6" s="25"/>
      <c r="X6" s="25"/>
      <c r="Y6" s="25"/>
      <c r="Z6" s="25"/>
    </row>
    <row r="7" ht="23.25" customHeight="1">
      <c r="A7" s="33"/>
      <c r="B7" s="40"/>
      <c r="C7" s="35" t="s">
        <v>53</v>
      </c>
      <c r="D7" s="36" t="s">
        <v>54</v>
      </c>
      <c r="E7" s="42"/>
      <c r="F7" s="38"/>
      <c r="G7" s="39" t="s">
        <v>55</v>
      </c>
      <c r="H7" s="25"/>
      <c r="I7" s="25"/>
      <c r="J7" s="25"/>
      <c r="K7" s="25"/>
      <c r="L7" s="25"/>
      <c r="M7" s="25"/>
      <c r="N7" s="25"/>
      <c r="O7" s="25"/>
      <c r="P7" s="25"/>
      <c r="Q7" s="25"/>
      <c r="R7" s="25"/>
      <c r="S7" s="25"/>
      <c r="T7" s="25"/>
      <c r="U7" s="25"/>
      <c r="V7" s="25"/>
      <c r="W7" s="25"/>
      <c r="X7" s="25"/>
      <c r="Y7" s="25"/>
      <c r="Z7" s="25"/>
    </row>
    <row r="8" ht="15.75" customHeight="1">
      <c r="A8" s="33"/>
      <c r="B8" s="40"/>
      <c r="C8" s="35" t="s">
        <v>56</v>
      </c>
      <c r="D8" s="36" t="s">
        <v>57</v>
      </c>
      <c r="E8" s="41"/>
      <c r="F8" s="38"/>
      <c r="G8" s="36"/>
      <c r="H8" s="25"/>
      <c r="I8" s="25"/>
      <c r="J8" s="25"/>
      <c r="K8" s="25"/>
      <c r="L8" s="25"/>
      <c r="M8" s="25"/>
      <c r="N8" s="25"/>
      <c r="O8" s="25"/>
      <c r="P8" s="25"/>
      <c r="Q8" s="25"/>
      <c r="R8" s="25"/>
      <c r="S8" s="25"/>
      <c r="T8" s="25"/>
      <c r="U8" s="25"/>
      <c r="V8" s="25"/>
      <c r="W8" s="25"/>
      <c r="X8" s="25"/>
      <c r="Y8" s="25"/>
      <c r="Z8" s="25"/>
    </row>
    <row r="9" ht="39.0" customHeight="1">
      <c r="A9" s="33"/>
      <c r="B9" s="43"/>
      <c r="C9" s="35" t="s">
        <v>58</v>
      </c>
      <c r="D9" s="36" t="s">
        <v>59</v>
      </c>
      <c r="E9" s="42"/>
      <c r="F9" s="38"/>
      <c r="G9" s="39" t="s">
        <v>60</v>
      </c>
      <c r="H9" s="25"/>
      <c r="I9" s="25"/>
      <c r="J9" s="25"/>
      <c r="K9" s="25"/>
      <c r="L9" s="25"/>
      <c r="M9" s="25"/>
      <c r="N9" s="25"/>
      <c r="O9" s="25"/>
      <c r="P9" s="25"/>
      <c r="Q9" s="25"/>
      <c r="R9" s="25"/>
      <c r="S9" s="25"/>
      <c r="T9" s="25"/>
      <c r="U9" s="25"/>
      <c r="V9" s="25"/>
      <c r="W9" s="25"/>
      <c r="X9" s="25"/>
      <c r="Y9" s="25"/>
      <c r="Z9" s="25"/>
    </row>
    <row r="10" ht="32.25" customHeight="1">
      <c r="A10" s="33"/>
      <c r="B10" s="38">
        <v>1.1</v>
      </c>
      <c r="C10" s="35" t="s">
        <v>61</v>
      </c>
      <c r="D10" s="44" t="s">
        <v>62</v>
      </c>
      <c r="E10" s="45" t="s">
        <v>63</v>
      </c>
      <c r="F10" s="46"/>
      <c r="G10" s="36"/>
      <c r="H10" s="25"/>
      <c r="I10" s="25"/>
      <c r="J10" s="25"/>
      <c r="K10" s="25"/>
      <c r="L10" s="25"/>
      <c r="M10" s="25"/>
      <c r="N10" s="25"/>
      <c r="O10" s="25"/>
      <c r="P10" s="25"/>
      <c r="Q10" s="25"/>
      <c r="R10" s="25"/>
      <c r="S10" s="25"/>
      <c r="T10" s="25"/>
      <c r="U10" s="25"/>
      <c r="V10" s="25"/>
      <c r="W10" s="25"/>
      <c r="X10" s="25"/>
      <c r="Y10" s="25"/>
      <c r="Z10" s="25"/>
    </row>
    <row r="11" ht="43.5" customHeight="1">
      <c r="A11" s="47"/>
      <c r="B11" s="48">
        <v>1.2</v>
      </c>
      <c r="C11" s="35" t="s">
        <v>64</v>
      </c>
      <c r="D11" s="36" t="s">
        <v>65</v>
      </c>
      <c r="E11" s="42"/>
      <c r="F11" s="38"/>
      <c r="G11" s="36"/>
      <c r="H11" s="25"/>
      <c r="I11" s="25"/>
      <c r="J11" s="25"/>
      <c r="K11" s="25"/>
      <c r="L11" s="25"/>
      <c r="M11" s="25"/>
      <c r="N11" s="25"/>
      <c r="O11" s="25"/>
      <c r="P11" s="25"/>
      <c r="Q11" s="25"/>
      <c r="R11" s="25"/>
      <c r="S11" s="25"/>
      <c r="T11" s="25"/>
      <c r="U11" s="25"/>
      <c r="V11" s="25"/>
      <c r="W11" s="25"/>
      <c r="X11" s="25"/>
      <c r="Y11" s="25"/>
      <c r="Z11" s="25"/>
    </row>
    <row r="12" ht="26.25" customHeight="1">
      <c r="A12" s="47"/>
      <c r="B12" s="49">
        <v>1.3</v>
      </c>
      <c r="C12" s="35"/>
      <c r="D12" s="50" t="s">
        <v>66</v>
      </c>
      <c r="E12" s="50"/>
      <c r="F12" s="50"/>
      <c r="G12" s="36"/>
      <c r="H12" s="25"/>
      <c r="I12" s="25"/>
      <c r="J12" s="25"/>
      <c r="K12" s="25"/>
      <c r="L12" s="25"/>
      <c r="M12" s="25"/>
      <c r="N12" s="25"/>
      <c r="O12" s="25"/>
      <c r="P12" s="25"/>
      <c r="Q12" s="25"/>
      <c r="R12" s="25"/>
      <c r="S12" s="25"/>
      <c r="T12" s="25"/>
      <c r="U12" s="25"/>
      <c r="V12" s="25"/>
      <c r="W12" s="25"/>
      <c r="X12" s="25"/>
      <c r="Y12" s="25"/>
      <c r="Z12" s="25"/>
    </row>
    <row r="13" ht="26.25" customHeight="1">
      <c r="A13" s="47"/>
      <c r="B13" s="40"/>
      <c r="C13" s="35" t="s">
        <v>67</v>
      </c>
      <c r="D13" s="51" t="s">
        <v>68</v>
      </c>
      <c r="E13" s="52" t="s">
        <v>63</v>
      </c>
      <c r="F13" s="46"/>
      <c r="G13" s="39" t="s">
        <v>69</v>
      </c>
      <c r="H13" s="25"/>
      <c r="I13" s="25"/>
      <c r="J13" s="25"/>
      <c r="K13" s="25"/>
      <c r="L13" s="25"/>
      <c r="M13" s="25"/>
      <c r="N13" s="25"/>
      <c r="O13" s="25"/>
      <c r="P13" s="25"/>
      <c r="Q13" s="25"/>
      <c r="R13" s="25"/>
      <c r="S13" s="25"/>
      <c r="T13" s="25"/>
      <c r="U13" s="25"/>
      <c r="V13" s="25"/>
      <c r="W13" s="25"/>
      <c r="X13" s="25"/>
      <c r="Y13" s="25"/>
      <c r="Z13" s="25"/>
    </row>
    <row r="14" ht="41.25" customHeight="1">
      <c r="A14" s="47"/>
      <c r="B14" s="40"/>
      <c r="C14" s="35" t="s">
        <v>70</v>
      </c>
      <c r="D14" s="51" t="s">
        <v>71</v>
      </c>
      <c r="E14" s="52" t="s">
        <v>63</v>
      </c>
      <c r="F14" s="46"/>
      <c r="G14" s="36"/>
      <c r="H14" s="25"/>
      <c r="I14" s="25"/>
      <c r="J14" s="25"/>
      <c r="K14" s="25"/>
      <c r="L14" s="25"/>
      <c r="M14" s="25"/>
      <c r="N14" s="25"/>
      <c r="O14" s="25"/>
      <c r="P14" s="25"/>
      <c r="Q14" s="25"/>
      <c r="R14" s="25"/>
      <c r="S14" s="25"/>
      <c r="T14" s="25"/>
      <c r="U14" s="25"/>
      <c r="V14" s="25"/>
      <c r="W14" s="25"/>
      <c r="X14" s="25"/>
      <c r="Y14" s="25"/>
      <c r="Z14" s="25"/>
    </row>
    <row r="15" ht="28.5" customHeight="1">
      <c r="A15" s="47"/>
      <c r="B15" s="40"/>
      <c r="C15" s="35" t="s">
        <v>72</v>
      </c>
      <c r="D15" s="51" t="s">
        <v>73</v>
      </c>
      <c r="E15" s="52" t="s">
        <v>63</v>
      </c>
      <c r="F15" s="38"/>
      <c r="G15" s="36"/>
      <c r="H15" s="25"/>
      <c r="I15" s="25"/>
      <c r="J15" s="25"/>
      <c r="K15" s="25"/>
      <c r="L15" s="25"/>
      <c r="M15" s="25"/>
      <c r="N15" s="25"/>
      <c r="O15" s="25"/>
      <c r="P15" s="25"/>
      <c r="Q15" s="25"/>
      <c r="R15" s="25"/>
      <c r="S15" s="25"/>
      <c r="T15" s="25"/>
      <c r="U15" s="25"/>
      <c r="V15" s="25"/>
      <c r="W15" s="25"/>
      <c r="X15" s="25"/>
      <c r="Y15" s="25"/>
      <c r="Z15" s="25"/>
    </row>
    <row r="16" ht="38.25" customHeight="1">
      <c r="A16" s="47"/>
      <c r="B16" s="43"/>
      <c r="C16" s="35" t="s">
        <v>74</v>
      </c>
      <c r="D16" s="51" t="s">
        <v>75</v>
      </c>
      <c r="E16" s="46"/>
      <c r="F16" s="38"/>
      <c r="G16" s="36"/>
      <c r="H16" s="25"/>
      <c r="I16" s="25"/>
      <c r="J16" s="25"/>
      <c r="K16" s="25"/>
      <c r="L16" s="25"/>
      <c r="M16" s="25"/>
      <c r="N16" s="25"/>
      <c r="O16" s="25"/>
      <c r="P16" s="25"/>
      <c r="Q16" s="25"/>
      <c r="R16" s="25"/>
      <c r="S16" s="25"/>
      <c r="T16" s="25"/>
      <c r="U16" s="25"/>
      <c r="V16" s="25"/>
      <c r="W16" s="25"/>
      <c r="X16" s="25"/>
      <c r="Y16" s="25"/>
      <c r="Z16" s="25"/>
    </row>
    <row r="17" ht="43.5" customHeight="1">
      <c r="A17" s="47"/>
      <c r="B17" s="48">
        <v>1.4</v>
      </c>
      <c r="C17" s="35" t="s">
        <v>76</v>
      </c>
      <c r="D17" s="36" t="s">
        <v>77</v>
      </c>
      <c r="E17" s="52" t="s">
        <v>63</v>
      </c>
      <c r="F17" s="46"/>
      <c r="G17" s="36"/>
      <c r="H17" s="25"/>
      <c r="I17" s="25"/>
      <c r="J17" s="25"/>
      <c r="K17" s="25"/>
      <c r="L17" s="25"/>
      <c r="M17" s="25"/>
      <c r="N17" s="25"/>
      <c r="O17" s="25"/>
      <c r="P17" s="25"/>
      <c r="Q17" s="25"/>
      <c r="R17" s="25"/>
      <c r="S17" s="25"/>
      <c r="T17" s="25"/>
      <c r="U17" s="25"/>
      <c r="V17" s="25"/>
      <c r="W17" s="25"/>
      <c r="X17" s="25"/>
      <c r="Y17" s="25"/>
      <c r="Z17" s="25"/>
    </row>
    <row r="18" ht="26.25" customHeight="1">
      <c r="A18" s="47"/>
      <c r="B18" s="49">
        <v>1.5</v>
      </c>
      <c r="C18" s="35" t="s">
        <v>78</v>
      </c>
      <c r="D18" s="53" t="s">
        <v>79</v>
      </c>
      <c r="E18" s="54"/>
      <c r="F18" s="38"/>
      <c r="G18" s="36"/>
      <c r="H18" s="25"/>
      <c r="I18" s="25"/>
      <c r="J18" s="25"/>
      <c r="K18" s="25"/>
      <c r="L18" s="25"/>
      <c r="M18" s="25"/>
      <c r="N18" s="25"/>
      <c r="O18" s="25"/>
      <c r="P18" s="25"/>
      <c r="Q18" s="25"/>
      <c r="R18" s="25"/>
      <c r="S18" s="25"/>
      <c r="T18" s="25"/>
      <c r="U18" s="25"/>
      <c r="V18" s="25"/>
      <c r="W18" s="25"/>
      <c r="X18" s="25"/>
      <c r="Y18" s="25"/>
      <c r="Z18" s="25"/>
    </row>
    <row r="19" ht="24.75" customHeight="1">
      <c r="A19" s="47"/>
      <c r="B19" s="40"/>
      <c r="C19" s="35" t="s">
        <v>80</v>
      </c>
      <c r="D19" s="36" t="s">
        <v>81</v>
      </c>
      <c r="E19" s="55"/>
      <c r="F19" s="38"/>
      <c r="G19" s="36"/>
      <c r="H19" s="25"/>
      <c r="I19" s="25"/>
      <c r="J19" s="25"/>
      <c r="K19" s="25"/>
      <c r="L19" s="25"/>
      <c r="M19" s="25"/>
      <c r="N19" s="25"/>
      <c r="O19" s="25"/>
      <c r="P19" s="25"/>
      <c r="Q19" s="25"/>
      <c r="R19" s="25"/>
      <c r="S19" s="25"/>
      <c r="T19" s="25"/>
      <c r="U19" s="25"/>
      <c r="V19" s="25"/>
      <c r="W19" s="25"/>
      <c r="X19" s="25"/>
      <c r="Y19" s="25"/>
      <c r="Z19" s="25"/>
    </row>
    <row r="20" ht="26.25" customHeight="1">
      <c r="A20" s="47"/>
      <c r="B20" s="40"/>
      <c r="C20" s="35" t="s">
        <v>82</v>
      </c>
      <c r="D20" s="36" t="s">
        <v>83</v>
      </c>
      <c r="E20" s="52"/>
      <c r="F20" s="46"/>
      <c r="G20" s="36"/>
      <c r="H20" s="25"/>
      <c r="I20" s="25"/>
      <c r="J20" s="25"/>
      <c r="K20" s="25"/>
      <c r="L20" s="25"/>
      <c r="M20" s="25"/>
      <c r="N20" s="25"/>
      <c r="O20" s="25"/>
      <c r="P20" s="25"/>
      <c r="Q20" s="25"/>
      <c r="R20" s="25"/>
      <c r="S20" s="25"/>
      <c r="T20" s="25"/>
      <c r="U20" s="25"/>
      <c r="V20" s="25"/>
      <c r="W20" s="25"/>
      <c r="X20" s="25"/>
      <c r="Y20" s="25"/>
      <c r="Z20" s="25"/>
    </row>
    <row r="21" ht="33.75" customHeight="1">
      <c r="A21" s="47"/>
      <c r="B21" s="43"/>
      <c r="C21" s="35" t="s">
        <v>84</v>
      </c>
      <c r="D21" s="36" t="s">
        <v>85</v>
      </c>
      <c r="E21" s="56" t="s">
        <v>86</v>
      </c>
      <c r="F21" s="38"/>
      <c r="G21" s="36"/>
      <c r="H21" s="25"/>
      <c r="I21" s="25"/>
      <c r="J21" s="25"/>
      <c r="K21" s="25"/>
      <c r="L21" s="25"/>
      <c r="M21" s="25"/>
      <c r="N21" s="25"/>
      <c r="O21" s="25"/>
      <c r="P21" s="25"/>
      <c r="Q21" s="25"/>
      <c r="R21" s="25"/>
      <c r="S21" s="25"/>
      <c r="T21" s="25"/>
      <c r="U21" s="25"/>
      <c r="V21" s="25"/>
      <c r="W21" s="25"/>
      <c r="X21" s="25"/>
      <c r="Y21" s="25"/>
      <c r="Z21" s="25"/>
    </row>
    <row r="22" ht="28.5" customHeight="1">
      <c r="A22" s="47"/>
      <c r="B22" s="48">
        <v>1.6</v>
      </c>
      <c r="C22" s="35" t="s">
        <v>87</v>
      </c>
      <c r="D22" s="36" t="s">
        <v>88</v>
      </c>
      <c r="E22" s="56"/>
      <c r="F22" s="38"/>
      <c r="G22" s="36"/>
      <c r="H22" s="25"/>
      <c r="I22" s="25"/>
      <c r="J22" s="25"/>
      <c r="K22" s="25"/>
      <c r="L22" s="25"/>
      <c r="M22" s="25"/>
      <c r="N22" s="25"/>
      <c r="O22" s="25"/>
      <c r="P22" s="25"/>
      <c r="Q22" s="25"/>
      <c r="R22" s="25"/>
      <c r="S22" s="25"/>
      <c r="T22" s="25"/>
      <c r="U22" s="25"/>
      <c r="V22" s="25"/>
      <c r="W22" s="25"/>
      <c r="X22" s="25"/>
      <c r="Y22" s="25"/>
      <c r="Z22" s="25"/>
    </row>
    <row r="23" ht="29.25" customHeight="1">
      <c r="A23" s="47"/>
      <c r="B23" s="48">
        <v>1.7</v>
      </c>
      <c r="C23" s="35" t="s">
        <v>89</v>
      </c>
      <c r="D23" s="36" t="s">
        <v>90</v>
      </c>
      <c r="E23" s="52"/>
      <c r="F23" s="46"/>
      <c r="G23" s="36"/>
      <c r="H23" s="25"/>
      <c r="I23" s="25"/>
      <c r="J23" s="25"/>
      <c r="K23" s="25"/>
      <c r="L23" s="25"/>
      <c r="M23" s="25"/>
      <c r="N23" s="25"/>
      <c r="O23" s="25"/>
      <c r="P23" s="25"/>
      <c r="Q23" s="25"/>
      <c r="R23" s="25"/>
      <c r="S23" s="25"/>
      <c r="T23" s="25"/>
      <c r="U23" s="25"/>
      <c r="V23" s="25"/>
      <c r="W23" s="25"/>
      <c r="X23" s="25"/>
      <c r="Y23" s="25"/>
      <c r="Z23" s="25"/>
    </row>
    <row r="24" ht="15.75" customHeight="1">
      <c r="A24" s="26"/>
      <c r="B24" s="27"/>
      <c r="C24" s="27"/>
      <c r="D24" s="27"/>
      <c r="E24" s="27"/>
      <c r="F24" s="27"/>
      <c r="G24" s="28"/>
      <c r="H24" s="29"/>
      <c r="I24" s="25"/>
      <c r="J24" s="25"/>
      <c r="K24" s="25"/>
      <c r="L24" s="25"/>
      <c r="M24" s="25"/>
      <c r="N24" s="25"/>
      <c r="O24" s="25"/>
      <c r="P24" s="25"/>
      <c r="Q24" s="25"/>
      <c r="R24" s="25"/>
      <c r="S24" s="25"/>
      <c r="T24" s="25"/>
      <c r="U24" s="25"/>
      <c r="V24" s="25"/>
      <c r="W24" s="25"/>
      <c r="X24" s="25"/>
      <c r="Y24" s="25"/>
      <c r="Z24" s="25"/>
      <c r="AA24" s="25"/>
    </row>
    <row r="25" ht="21.0" customHeight="1">
      <c r="A25" s="57"/>
      <c r="H25" s="25"/>
      <c r="I25" s="25"/>
      <c r="J25" s="25"/>
      <c r="K25" s="25"/>
      <c r="L25" s="25"/>
      <c r="M25" s="25"/>
      <c r="N25" s="25"/>
      <c r="O25" s="25"/>
      <c r="P25" s="25"/>
      <c r="Q25" s="25"/>
      <c r="R25" s="25"/>
      <c r="S25" s="25"/>
      <c r="T25" s="25"/>
      <c r="U25" s="25"/>
      <c r="V25" s="25"/>
      <c r="W25" s="25"/>
      <c r="X25" s="25"/>
      <c r="Y25" s="25"/>
      <c r="Z25" s="25"/>
      <c r="AA25" s="25"/>
    </row>
    <row r="26" ht="30.0" customHeight="1">
      <c r="A26" s="58"/>
      <c r="H26" s="25"/>
      <c r="I26" s="25"/>
      <c r="J26" s="25"/>
      <c r="K26" s="25"/>
      <c r="L26" s="25"/>
      <c r="M26" s="25"/>
      <c r="N26" s="25"/>
      <c r="O26" s="25"/>
      <c r="P26" s="25"/>
      <c r="Q26" s="25"/>
      <c r="R26" s="25"/>
      <c r="S26" s="25"/>
      <c r="T26" s="25"/>
      <c r="U26" s="25"/>
      <c r="V26" s="25"/>
      <c r="W26" s="25"/>
      <c r="X26" s="25"/>
      <c r="Y26" s="25"/>
      <c r="Z26" s="25"/>
      <c r="AA26" s="25"/>
    </row>
    <row r="27" ht="29.25" customHeight="1">
      <c r="A27" s="58"/>
      <c r="B27" s="59" t="s">
        <v>6</v>
      </c>
      <c r="C27" s="59"/>
      <c r="D27" s="59" t="s">
        <v>91</v>
      </c>
      <c r="E27" s="59" t="s">
        <v>92</v>
      </c>
      <c r="F27" s="59" t="s">
        <v>93</v>
      </c>
      <c r="H27" s="25"/>
      <c r="I27" s="25"/>
      <c r="J27" s="25"/>
      <c r="K27" s="25"/>
      <c r="L27" s="25"/>
      <c r="M27" s="25"/>
      <c r="N27" s="25"/>
      <c r="O27" s="25"/>
      <c r="P27" s="25"/>
      <c r="Q27" s="25"/>
      <c r="R27" s="25"/>
      <c r="S27" s="25"/>
      <c r="T27" s="25"/>
      <c r="U27" s="25"/>
      <c r="V27" s="25"/>
      <c r="W27" s="25"/>
      <c r="X27" s="25"/>
      <c r="Y27" s="25"/>
      <c r="Z27" s="25"/>
      <c r="AA27" s="25"/>
    </row>
    <row r="28" ht="21.0" customHeight="1">
      <c r="A28" s="58"/>
      <c r="B28" s="60" t="s">
        <v>8</v>
      </c>
      <c r="C28" s="60"/>
      <c r="D28" s="61">
        <f>SUM('2 Financial Stability'!E1:E52)</f>
      </c>
      <c r="E28" s="61">
        <v>20.0</v>
      </c>
      <c r="F28" s="62">
        <f t="shared" ref="F28:F34" si="1">(D28/E28)</f>
      </c>
      <c r="H28" s="25"/>
      <c r="I28" s="25"/>
      <c r="J28" s="25"/>
      <c r="K28" s="25"/>
      <c r="L28" s="25"/>
      <c r="M28" s="25"/>
      <c r="N28" s="25"/>
      <c r="O28" s="25"/>
      <c r="P28" s="25"/>
      <c r="Q28" s="25"/>
      <c r="R28" s="25"/>
      <c r="S28" s="25"/>
      <c r="T28" s="25"/>
      <c r="U28" s="25"/>
      <c r="V28" s="25"/>
      <c r="W28" s="25"/>
      <c r="X28" s="25"/>
      <c r="Y28" s="25"/>
      <c r="Z28" s="25"/>
      <c r="AA28" s="25"/>
    </row>
    <row r="29" ht="29.25" customHeight="1">
      <c r="A29" s="58"/>
      <c r="B29" s="60" t="s">
        <v>10</v>
      </c>
      <c r="C29" s="60"/>
      <c r="D29" s="61">
        <f>SUM('3 Governance'!E14:E31)</f>
      </c>
      <c r="E29" s="61">
        <v>12.0</v>
      </c>
      <c r="F29" s="62">
        <f t="shared" si="1"/>
      </c>
      <c r="H29" s="25"/>
      <c r="I29" s="25"/>
      <c r="J29" s="25"/>
      <c r="K29" s="25"/>
      <c r="L29" s="25"/>
      <c r="M29" s="25"/>
      <c r="N29" s="25"/>
      <c r="O29" s="25"/>
      <c r="P29" s="25"/>
      <c r="Q29" s="25"/>
      <c r="R29" s="25"/>
      <c r="S29" s="25"/>
      <c r="T29" s="25"/>
      <c r="U29" s="25"/>
      <c r="V29" s="25"/>
      <c r="W29" s="25"/>
      <c r="X29" s="25"/>
      <c r="Y29" s="25"/>
      <c r="Z29" s="25"/>
      <c r="AA29" s="25"/>
    </row>
    <row r="30" ht="30.75" customHeight="1">
      <c r="A30" s="58"/>
      <c r="B30" s="60" t="s">
        <v>94</v>
      </c>
      <c r="C30" s="60"/>
      <c r="D30" s="61">
        <f>SUM('4 Constitution, Bylaws, Polici'!E2:E23)</f>
      </c>
      <c r="E30" s="61">
        <v>20.0</v>
      </c>
      <c r="F30" s="62">
        <f t="shared" si="1"/>
      </c>
      <c r="H30" s="25"/>
      <c r="I30" s="25"/>
      <c r="J30" s="25"/>
      <c r="K30" s="25"/>
      <c r="L30" s="25"/>
      <c r="M30" s="25"/>
      <c r="N30" s="25"/>
      <c r="O30" s="25"/>
      <c r="P30" s="25"/>
      <c r="Q30" s="25"/>
      <c r="R30" s="25"/>
      <c r="S30" s="25"/>
      <c r="T30" s="25"/>
      <c r="U30" s="25"/>
      <c r="V30" s="25"/>
      <c r="W30" s="25"/>
      <c r="X30" s="25"/>
      <c r="Y30" s="25"/>
      <c r="Z30" s="25"/>
      <c r="AA30" s="25"/>
    </row>
    <row r="31" ht="27.0" customHeight="1">
      <c r="A31" s="58"/>
      <c r="B31" s="60" t="s">
        <v>95</v>
      </c>
      <c r="C31" s="60"/>
      <c r="D31" s="61">
        <f>SUM('5 Monitoring &amp; Evaluation'!E2:E11)</f>
      </c>
      <c r="E31" s="61">
        <v>6.0</v>
      </c>
      <c r="F31" s="62">
        <f t="shared" si="1"/>
      </c>
      <c r="H31" s="25"/>
      <c r="I31" s="25"/>
      <c r="J31" s="25"/>
      <c r="K31" s="25"/>
      <c r="L31" s="25"/>
      <c r="M31" s="25"/>
      <c r="N31" s="25"/>
      <c r="O31" s="25"/>
      <c r="P31" s="25"/>
      <c r="Q31" s="25"/>
      <c r="R31" s="25"/>
      <c r="S31" s="25"/>
      <c r="T31" s="25"/>
      <c r="U31" s="25"/>
      <c r="V31" s="25"/>
      <c r="W31" s="25"/>
      <c r="X31" s="25"/>
      <c r="Y31" s="25"/>
      <c r="Z31" s="25"/>
      <c r="AA31" s="25"/>
    </row>
    <row r="32" ht="56.25" customHeight="1">
      <c r="A32" s="58"/>
      <c r="B32" s="60" t="s">
        <v>16</v>
      </c>
      <c r="C32" s="60"/>
      <c r="D32" s="61">
        <f>SUM('6 Strategic Planning &amp; Mission'!E2:E24)</f>
      </c>
      <c r="E32" s="61">
        <v>12.0</v>
      </c>
      <c r="F32" s="62">
        <f t="shared" si="1"/>
      </c>
      <c r="H32" s="25"/>
      <c r="I32" s="63"/>
      <c r="J32" s="25"/>
      <c r="K32" s="25"/>
      <c r="L32" s="25"/>
      <c r="M32" s="25"/>
      <c r="N32" s="25"/>
      <c r="O32" s="25"/>
      <c r="P32" s="25"/>
      <c r="Q32" s="25"/>
      <c r="R32" s="25"/>
      <c r="S32" s="25"/>
      <c r="T32" s="25"/>
      <c r="U32" s="25"/>
      <c r="V32" s="25"/>
      <c r="W32" s="25"/>
      <c r="X32" s="25"/>
      <c r="Y32" s="25"/>
      <c r="Z32" s="25"/>
      <c r="AA32" s="25"/>
    </row>
    <row r="33" ht="31.5" customHeight="1">
      <c r="A33" s="58"/>
      <c r="B33" s="60" t="s">
        <v>96</v>
      </c>
      <c r="C33" s="60"/>
      <c r="D33" s="61">
        <f>SUM('7 Diversity &amp; Youth Participati'!E4:E9)</f>
      </c>
      <c r="E33" s="61">
        <v>4.0</v>
      </c>
      <c r="F33" s="62">
        <f t="shared" si="1"/>
      </c>
      <c r="H33" s="25"/>
      <c r="I33" s="25"/>
      <c r="J33" s="25"/>
      <c r="K33" s="25"/>
      <c r="L33" s="25"/>
      <c r="M33" s="25"/>
      <c r="N33" s="25"/>
      <c r="O33" s="25"/>
      <c r="P33" s="25"/>
      <c r="Q33" s="25"/>
      <c r="R33" s="25"/>
      <c r="S33" s="25"/>
      <c r="T33" s="25"/>
      <c r="U33" s="25"/>
      <c r="V33" s="25"/>
      <c r="W33" s="25"/>
      <c r="X33" s="25"/>
      <c r="Y33" s="25"/>
      <c r="Z33" s="25"/>
      <c r="AA33" s="25"/>
    </row>
    <row r="34" ht="30.0" customHeight="1">
      <c r="A34" s="58"/>
      <c r="B34" s="60" t="s">
        <v>97</v>
      </c>
      <c r="C34" s="60"/>
      <c r="D34" s="61">
        <f>SUM('8 Communications &amp; Branding'!E2:E7)</f>
      </c>
      <c r="E34" s="61">
        <v>5.0</v>
      </c>
      <c r="F34" s="62">
        <f t="shared" si="1"/>
      </c>
      <c r="H34" s="25"/>
      <c r="I34" s="25"/>
      <c r="J34" s="25"/>
      <c r="K34" s="25"/>
      <c r="L34" s="25"/>
      <c r="M34" s="25"/>
      <c r="N34" s="25"/>
      <c r="O34" s="25"/>
      <c r="P34" s="25"/>
      <c r="Q34" s="25"/>
      <c r="R34" s="25"/>
      <c r="S34" s="25"/>
      <c r="T34" s="25"/>
      <c r="U34" s="25"/>
      <c r="V34" s="25"/>
      <c r="W34" s="25"/>
      <c r="X34" s="25"/>
      <c r="Y34" s="25"/>
      <c r="Z34" s="25"/>
      <c r="AA34" s="25"/>
    </row>
    <row r="35" ht="54.75" customHeight="1">
      <c r="A35" s="58"/>
      <c r="B35" s="60" t="s">
        <v>22</v>
      </c>
      <c r="C35" s="60"/>
      <c r="D35" s="64" t="s">
        <v>98</v>
      </c>
      <c r="E35" s="65" t="s">
        <v>98</v>
      </c>
      <c r="F35" s="65" t="s">
        <v>98</v>
      </c>
      <c r="H35" s="25"/>
      <c r="I35" s="25"/>
      <c r="J35" s="25"/>
      <c r="K35" s="25"/>
      <c r="L35" s="25"/>
      <c r="M35" s="25"/>
      <c r="N35" s="25"/>
      <c r="O35" s="25"/>
      <c r="P35" s="25"/>
      <c r="Q35" s="25"/>
      <c r="R35" s="25"/>
      <c r="S35" s="25"/>
      <c r="T35" s="25"/>
      <c r="U35" s="25"/>
      <c r="V35" s="25"/>
      <c r="W35" s="25"/>
      <c r="X35" s="25"/>
      <c r="Y35" s="25"/>
      <c r="Z35" s="25"/>
      <c r="AA35" s="25"/>
    </row>
    <row r="36" ht="27.75" customHeight="1">
      <c r="A36" s="58"/>
      <c r="B36" s="60" t="s">
        <v>99</v>
      </c>
      <c r="C36" s="60"/>
      <c r="D36" s="61">
        <f>SUM('10 Staff+Volunteer Development'!E2:E8)</f>
      </c>
      <c r="E36" s="61">
        <v>5.0</v>
      </c>
      <c r="F36" s="62">
        <f>(D36/$E$36)</f>
      </c>
      <c r="H36" s="25"/>
      <c r="I36" s="25"/>
      <c r="J36" s="25"/>
      <c r="K36" s="25"/>
      <c r="L36" s="25"/>
      <c r="M36" s="25"/>
      <c r="N36" s="25"/>
      <c r="O36" s="25"/>
      <c r="P36" s="25"/>
      <c r="Q36" s="25"/>
      <c r="R36" s="25"/>
      <c r="S36" s="25"/>
      <c r="T36" s="25"/>
      <c r="U36" s="25"/>
      <c r="V36" s="25"/>
      <c r="W36" s="25"/>
      <c r="X36" s="25"/>
      <c r="Y36" s="25"/>
      <c r="Z36" s="25"/>
      <c r="AA36" s="25"/>
    </row>
    <row r="37" ht="42.0" customHeight="1">
      <c r="A37" s="58"/>
      <c r="B37" s="66" t="s">
        <v>100</v>
      </c>
      <c r="C37" s="66"/>
      <c r="D37" s="67">
        <f t="shared" ref="D37:E37" si="2">SUM(D28:D36)</f>
      </c>
      <c r="E37" s="68">
        <f t="shared" si="2"/>
      </c>
      <c r="F37" s="69">
        <f>(D37/E37)</f>
      </c>
      <c r="H37" s="25"/>
      <c r="I37" s="25"/>
      <c r="J37" s="25"/>
      <c r="K37" s="25"/>
      <c r="L37" s="25"/>
      <c r="M37" s="25"/>
      <c r="N37" s="25"/>
      <c r="O37" s="25"/>
      <c r="P37" s="25"/>
      <c r="Q37" s="25"/>
      <c r="R37" s="25"/>
      <c r="S37" s="25"/>
      <c r="T37" s="25"/>
      <c r="U37" s="25"/>
      <c r="V37" s="25"/>
      <c r="W37" s="25"/>
      <c r="X37" s="25"/>
      <c r="Y37" s="25"/>
      <c r="Z37" s="25"/>
      <c r="AA37" s="25"/>
    </row>
    <row r="38" ht="27.75" customHeight="1">
      <c r="A38" s="58"/>
      <c r="B38" s="60"/>
      <c r="C38" s="60"/>
      <c r="D38" s="60"/>
      <c r="E38" s="60"/>
      <c r="F38" s="60"/>
      <c r="H38" s="25"/>
      <c r="I38" s="25"/>
      <c r="J38" s="25"/>
      <c r="K38" s="25"/>
      <c r="L38" s="25"/>
      <c r="M38" s="25"/>
      <c r="N38" s="25"/>
      <c r="O38" s="25"/>
      <c r="P38" s="25"/>
      <c r="Q38" s="25"/>
      <c r="R38" s="25"/>
      <c r="S38" s="25"/>
      <c r="T38" s="25"/>
      <c r="U38" s="25"/>
      <c r="V38" s="25"/>
      <c r="W38" s="25"/>
      <c r="X38" s="25"/>
      <c r="Y38" s="25"/>
      <c r="Z38" s="25"/>
      <c r="AA38" s="25"/>
    </row>
    <row r="39" ht="28.5" customHeight="1">
      <c r="A39" s="58"/>
      <c r="B39" s="70" t="s">
        <v>101</v>
      </c>
      <c r="C39" s="70"/>
      <c r="D39" s="71"/>
      <c r="E39" s="72"/>
      <c r="F39" s="72"/>
      <c r="H39" s="25"/>
      <c r="I39" s="25"/>
      <c r="J39" s="25"/>
      <c r="K39" s="25"/>
      <c r="L39" s="25"/>
      <c r="M39" s="25"/>
      <c r="N39" s="25"/>
      <c r="O39" s="25"/>
      <c r="P39" s="25"/>
      <c r="Q39" s="25"/>
      <c r="R39" s="25"/>
      <c r="S39" s="25"/>
      <c r="T39" s="25"/>
      <c r="U39" s="25"/>
      <c r="V39" s="25"/>
      <c r="W39" s="25"/>
      <c r="X39" s="25"/>
      <c r="Y39" s="25"/>
      <c r="Z39" s="25"/>
      <c r="AA39" s="25"/>
    </row>
    <row r="40" ht="67.5" customHeight="1">
      <c r="A40" s="73"/>
      <c r="B40" s="44" t="s">
        <v>102</v>
      </c>
      <c r="C40" s="44"/>
      <c r="D40" s="74"/>
      <c r="E40" s="72"/>
      <c r="F40" s="72"/>
      <c r="H40" s="25"/>
      <c r="I40" s="25"/>
      <c r="J40" s="25"/>
      <c r="K40" s="25"/>
      <c r="L40" s="25"/>
      <c r="M40" s="25"/>
      <c r="N40" s="25"/>
      <c r="O40" s="25"/>
      <c r="P40" s="25"/>
      <c r="Q40" s="25"/>
      <c r="R40" s="25"/>
      <c r="S40" s="25"/>
      <c r="T40" s="25"/>
      <c r="U40" s="25"/>
      <c r="V40" s="25"/>
      <c r="W40" s="25"/>
      <c r="X40" s="25"/>
      <c r="Y40" s="25"/>
      <c r="Z40" s="25"/>
      <c r="AA40" s="25"/>
    </row>
    <row r="41" ht="24.75" customHeight="1">
      <c r="A41" s="73"/>
      <c r="B41" s="44" t="s">
        <v>103</v>
      </c>
      <c r="C41" s="44"/>
      <c r="D41" s="75" t="s">
        <v>63</v>
      </c>
      <c r="E41" s="72"/>
      <c r="F41" s="72"/>
      <c r="H41" s="25"/>
      <c r="I41" s="25"/>
      <c r="J41" s="25"/>
      <c r="K41" s="25"/>
      <c r="L41" s="25"/>
      <c r="M41" s="25"/>
      <c r="N41" s="25"/>
      <c r="O41" s="25"/>
      <c r="P41" s="25"/>
      <c r="Q41" s="25"/>
      <c r="R41" s="25"/>
      <c r="S41" s="25"/>
      <c r="T41" s="25"/>
      <c r="U41" s="25"/>
      <c r="V41" s="25"/>
      <c r="W41" s="25"/>
      <c r="X41" s="25"/>
      <c r="Y41" s="25"/>
      <c r="Z41" s="25"/>
      <c r="AA41" s="25"/>
    </row>
    <row r="42" ht="15.75" customHeight="1">
      <c r="A42" s="73"/>
      <c r="B42" s="44" t="s">
        <v>104</v>
      </c>
      <c r="C42" s="44"/>
      <c r="D42" s="75" t="s">
        <v>63</v>
      </c>
      <c r="E42" s="72"/>
      <c r="F42" s="72"/>
      <c r="H42" s="25"/>
      <c r="I42" s="25"/>
      <c r="J42" s="25"/>
      <c r="K42" s="25"/>
      <c r="L42" s="25"/>
      <c r="M42" s="25"/>
      <c r="N42" s="25"/>
      <c r="O42" s="25"/>
      <c r="P42" s="25"/>
      <c r="Q42" s="25"/>
      <c r="R42" s="25"/>
      <c r="S42" s="25"/>
      <c r="T42" s="25"/>
      <c r="U42" s="25"/>
      <c r="V42" s="25"/>
      <c r="W42" s="25"/>
      <c r="X42" s="25"/>
      <c r="Y42" s="25"/>
      <c r="Z42" s="25"/>
      <c r="AA42" s="25"/>
    </row>
    <row r="43" ht="15.75" customHeight="1">
      <c r="A43" s="73"/>
      <c r="B43" s="44" t="s">
        <v>105</v>
      </c>
      <c r="C43" s="44"/>
      <c r="D43" s="75" t="s">
        <v>63</v>
      </c>
      <c r="E43" s="72"/>
      <c r="F43" s="72"/>
      <c r="H43" s="25"/>
      <c r="I43" s="25"/>
      <c r="J43" s="25"/>
      <c r="K43" s="25"/>
      <c r="L43" s="25"/>
      <c r="M43" s="25"/>
      <c r="N43" s="25"/>
      <c r="O43" s="25"/>
      <c r="P43" s="25"/>
      <c r="Q43" s="25"/>
      <c r="R43" s="25"/>
      <c r="S43" s="25"/>
      <c r="T43" s="25"/>
      <c r="U43" s="25"/>
      <c r="V43" s="25"/>
      <c r="W43" s="25"/>
      <c r="X43" s="25"/>
      <c r="Y43" s="25"/>
      <c r="Z43" s="25"/>
      <c r="AA43" s="25"/>
    </row>
    <row r="44" ht="15.75" customHeight="1">
      <c r="A44" s="73"/>
      <c r="B44" s="44" t="s">
        <v>106</v>
      </c>
      <c r="C44" s="44"/>
      <c r="D44" s="75" t="s">
        <v>63</v>
      </c>
      <c r="E44" s="72"/>
      <c r="F44" s="72"/>
      <c r="H44" s="25"/>
      <c r="I44" s="25"/>
      <c r="J44" s="25"/>
      <c r="K44" s="25"/>
      <c r="L44" s="25"/>
      <c r="M44" s="25"/>
      <c r="N44" s="25"/>
      <c r="O44" s="25"/>
      <c r="P44" s="25"/>
      <c r="Q44" s="25"/>
      <c r="R44" s="25"/>
      <c r="S44" s="25"/>
      <c r="T44" s="25"/>
      <c r="U44" s="25"/>
      <c r="V44" s="25"/>
      <c r="W44" s="25"/>
      <c r="X44" s="25"/>
      <c r="Y44" s="25"/>
      <c r="Z44" s="25"/>
      <c r="AA44" s="25"/>
    </row>
    <row r="45" ht="34.5" customHeight="1">
      <c r="A45" s="73"/>
      <c r="B45" s="76"/>
      <c r="C45" s="76"/>
      <c r="D45" s="76"/>
      <c r="E45" s="76"/>
      <c r="F45" s="76"/>
      <c r="H45" s="25"/>
      <c r="I45" s="25"/>
      <c r="J45" s="25"/>
      <c r="K45" s="25"/>
      <c r="L45" s="25"/>
      <c r="M45" s="25"/>
      <c r="N45" s="25"/>
      <c r="O45" s="25"/>
      <c r="P45" s="25"/>
      <c r="Q45" s="25"/>
      <c r="R45" s="25"/>
      <c r="S45" s="25"/>
      <c r="T45" s="25"/>
      <c r="U45" s="25"/>
      <c r="V45" s="25"/>
      <c r="W45" s="25"/>
      <c r="X45" s="25"/>
      <c r="Y45" s="25"/>
      <c r="Z45" s="25"/>
      <c r="AA45" s="25"/>
    </row>
    <row r="46" ht="30.75" customHeight="1">
      <c r="A46" s="73"/>
      <c r="H46" s="25"/>
      <c r="I46" s="25"/>
      <c r="J46" s="25"/>
      <c r="K46" s="25"/>
      <c r="L46" s="25"/>
      <c r="M46" s="25"/>
      <c r="N46" s="25"/>
      <c r="O46" s="25"/>
      <c r="P46" s="25"/>
      <c r="Q46" s="25"/>
      <c r="R46" s="25"/>
      <c r="S46" s="25"/>
      <c r="T46" s="25"/>
      <c r="U46" s="25"/>
      <c r="V46" s="25"/>
      <c r="W46" s="25"/>
      <c r="X46" s="25"/>
      <c r="Y46" s="25"/>
      <c r="Z46" s="25"/>
      <c r="AA46" s="25"/>
    </row>
    <row r="47" ht="27.75" customHeight="1">
      <c r="A47" s="73"/>
      <c r="H47" s="25"/>
      <c r="I47" s="25"/>
      <c r="J47" s="25"/>
      <c r="K47" s="25"/>
      <c r="L47" s="25"/>
      <c r="M47" s="25"/>
      <c r="N47" s="25"/>
      <c r="O47" s="25"/>
      <c r="P47" s="25"/>
      <c r="Q47" s="25"/>
      <c r="R47" s="25"/>
      <c r="S47" s="25"/>
      <c r="T47" s="25"/>
      <c r="U47" s="25"/>
      <c r="V47" s="25"/>
      <c r="W47" s="25"/>
      <c r="X47" s="25"/>
      <c r="Y47" s="25"/>
      <c r="Z47" s="25"/>
      <c r="AA47" s="25"/>
    </row>
    <row r="48" ht="15.75" customHeight="1">
      <c r="A48" s="73"/>
      <c r="H48" s="25"/>
      <c r="I48" s="25"/>
      <c r="J48" s="25"/>
      <c r="K48" s="25"/>
      <c r="L48" s="25"/>
      <c r="M48" s="25"/>
      <c r="N48" s="25"/>
      <c r="O48" s="25"/>
      <c r="P48" s="25"/>
      <c r="Q48" s="25"/>
      <c r="R48" s="25"/>
      <c r="S48" s="25"/>
      <c r="T48" s="25"/>
      <c r="U48" s="25"/>
      <c r="V48" s="25"/>
      <c r="W48" s="25"/>
      <c r="X48" s="25"/>
      <c r="Y48" s="25"/>
      <c r="Z48" s="25"/>
      <c r="AA48" s="25"/>
    </row>
    <row r="49" ht="30.75" customHeight="1">
      <c r="A49" s="58"/>
      <c r="H49" s="25"/>
      <c r="I49" s="25"/>
      <c r="J49" s="25"/>
      <c r="K49" s="25"/>
      <c r="L49" s="25"/>
      <c r="M49" s="25"/>
      <c r="N49" s="25"/>
      <c r="O49" s="25"/>
      <c r="P49" s="25"/>
      <c r="Q49" s="25"/>
      <c r="R49" s="25"/>
      <c r="S49" s="25"/>
      <c r="T49" s="25"/>
      <c r="U49" s="25"/>
      <c r="V49" s="25"/>
      <c r="W49" s="25"/>
      <c r="X49" s="25"/>
      <c r="Y49" s="25"/>
      <c r="Z49" s="25"/>
      <c r="AA49" s="25"/>
    </row>
    <row r="50" ht="83.25" customHeight="1">
      <c r="A50" s="58"/>
      <c r="H50" s="25"/>
      <c r="I50" s="25"/>
      <c r="J50" s="25"/>
      <c r="K50" s="25"/>
      <c r="L50" s="25"/>
      <c r="M50" s="25"/>
      <c r="N50" s="25"/>
      <c r="O50" s="25"/>
      <c r="P50" s="25"/>
      <c r="Q50" s="25"/>
      <c r="R50" s="25"/>
      <c r="S50" s="25"/>
      <c r="T50" s="25"/>
      <c r="U50" s="25"/>
      <c r="V50" s="25"/>
      <c r="W50" s="25"/>
      <c r="X50" s="25"/>
      <c r="Y50" s="25"/>
      <c r="Z50" s="25"/>
      <c r="AA50" s="25"/>
    </row>
    <row r="51" ht="40.5" customHeight="1">
      <c r="A51" s="58"/>
      <c r="H51" s="25"/>
      <c r="I51" s="25"/>
      <c r="J51" s="25"/>
      <c r="K51" s="25"/>
      <c r="L51" s="25"/>
      <c r="M51" s="25"/>
      <c r="N51" s="25"/>
      <c r="O51" s="25"/>
      <c r="P51" s="25"/>
      <c r="Q51" s="25"/>
      <c r="R51" s="25"/>
      <c r="S51" s="25"/>
      <c r="T51" s="25"/>
      <c r="U51" s="25"/>
      <c r="V51" s="25"/>
      <c r="W51" s="25"/>
      <c r="X51" s="25"/>
      <c r="Y51" s="25"/>
      <c r="Z51" s="25"/>
      <c r="AA51" s="25"/>
    </row>
    <row r="52" ht="27.0" customHeight="1">
      <c r="A52" s="58"/>
      <c r="H52" s="25"/>
      <c r="I52" s="25"/>
      <c r="J52" s="25"/>
      <c r="K52" s="25"/>
      <c r="L52" s="25"/>
      <c r="M52" s="25"/>
      <c r="N52" s="25"/>
      <c r="O52" s="25"/>
      <c r="P52" s="25"/>
      <c r="Q52" s="25"/>
      <c r="R52" s="25"/>
      <c r="S52" s="25"/>
      <c r="T52" s="25"/>
      <c r="U52" s="25"/>
      <c r="V52" s="25"/>
      <c r="W52" s="25"/>
      <c r="X52" s="25"/>
      <c r="Y52" s="25"/>
      <c r="Z52" s="25"/>
      <c r="AA52" s="25"/>
    </row>
    <row r="53" ht="36.0" customHeight="1">
      <c r="A53" s="58"/>
      <c r="H53" s="25"/>
      <c r="I53" s="25"/>
      <c r="J53" s="25"/>
      <c r="K53" s="25"/>
      <c r="L53" s="25"/>
      <c r="M53" s="25"/>
      <c r="N53" s="25"/>
      <c r="O53" s="25"/>
      <c r="P53" s="25"/>
      <c r="Q53" s="25"/>
      <c r="R53" s="25"/>
      <c r="S53" s="25"/>
      <c r="T53" s="25"/>
      <c r="U53" s="25"/>
      <c r="V53" s="25"/>
      <c r="W53" s="25"/>
      <c r="X53" s="25"/>
      <c r="Y53" s="25"/>
      <c r="Z53" s="25"/>
      <c r="AA53" s="25"/>
    </row>
    <row r="54" ht="33.75" customHeight="1">
      <c r="A54" s="58"/>
      <c r="H54" s="25"/>
      <c r="I54" s="25"/>
      <c r="J54" s="25"/>
      <c r="K54" s="25"/>
      <c r="L54" s="25"/>
      <c r="M54" s="25"/>
      <c r="N54" s="25"/>
      <c r="O54" s="25"/>
      <c r="P54" s="25"/>
      <c r="Q54" s="25"/>
      <c r="R54" s="25"/>
      <c r="S54" s="25"/>
      <c r="T54" s="25"/>
      <c r="U54" s="25"/>
      <c r="V54" s="25"/>
      <c r="W54" s="25"/>
      <c r="X54" s="25"/>
      <c r="Y54" s="25"/>
      <c r="Z54" s="25"/>
      <c r="AA54" s="25"/>
    </row>
    <row r="55" ht="45.0" customHeight="1">
      <c r="A55" s="58"/>
      <c r="H55" s="25"/>
      <c r="I55" s="25"/>
      <c r="J55" s="25"/>
      <c r="K55" s="25"/>
      <c r="L55" s="25"/>
      <c r="M55" s="25"/>
      <c r="N55" s="25"/>
      <c r="O55" s="25"/>
      <c r="P55" s="25"/>
      <c r="Q55" s="25"/>
      <c r="R55" s="25"/>
      <c r="S55" s="25"/>
      <c r="T55" s="25"/>
      <c r="U55" s="25"/>
      <c r="V55" s="25"/>
      <c r="W55" s="25"/>
      <c r="X55" s="25"/>
      <c r="Y55" s="25"/>
      <c r="Z55" s="25"/>
      <c r="AA55" s="25"/>
    </row>
    <row r="56" ht="33.75" customHeight="1">
      <c r="A56" s="58"/>
      <c r="H56" s="25"/>
      <c r="I56" s="25"/>
      <c r="J56" s="25"/>
      <c r="K56" s="25"/>
      <c r="L56" s="25"/>
      <c r="M56" s="25"/>
      <c r="N56" s="25"/>
      <c r="O56" s="25"/>
      <c r="P56" s="25"/>
      <c r="Q56" s="25"/>
      <c r="R56" s="25"/>
      <c r="S56" s="25"/>
      <c r="T56" s="25"/>
      <c r="U56" s="25"/>
      <c r="V56" s="25"/>
      <c r="W56" s="25"/>
      <c r="X56" s="25"/>
      <c r="Y56" s="25"/>
      <c r="Z56" s="25"/>
      <c r="AA56" s="25"/>
    </row>
    <row r="57" ht="37.5" customHeight="1">
      <c r="A57" s="58"/>
      <c r="H57" s="25"/>
      <c r="I57" s="25"/>
      <c r="J57" s="25"/>
      <c r="K57" s="25"/>
      <c r="L57" s="25"/>
      <c r="M57" s="25"/>
      <c r="N57" s="25"/>
      <c r="O57" s="25"/>
      <c r="P57" s="25"/>
      <c r="Q57" s="25"/>
      <c r="R57" s="25"/>
      <c r="S57" s="25"/>
      <c r="T57" s="25"/>
      <c r="U57" s="25"/>
      <c r="V57" s="25"/>
      <c r="W57" s="25"/>
      <c r="X57" s="25"/>
      <c r="Y57" s="25"/>
      <c r="Z57" s="25"/>
      <c r="AA57" s="25"/>
    </row>
    <row r="58" ht="37.5" customHeight="1">
      <c r="A58" s="58"/>
      <c r="H58" s="25"/>
      <c r="I58" s="25"/>
      <c r="J58" s="25"/>
      <c r="K58" s="25"/>
      <c r="L58" s="25"/>
      <c r="M58" s="25"/>
      <c r="N58" s="25"/>
      <c r="O58" s="25"/>
      <c r="P58" s="25"/>
      <c r="Q58" s="25"/>
      <c r="R58" s="25"/>
      <c r="S58" s="25"/>
      <c r="T58" s="25"/>
      <c r="U58" s="25"/>
      <c r="V58" s="25"/>
      <c r="W58" s="25"/>
      <c r="X58" s="25"/>
      <c r="Y58" s="25"/>
      <c r="Z58" s="25"/>
      <c r="AA58" s="25"/>
    </row>
    <row r="59" ht="15.75" customHeight="1">
      <c r="A59" s="58"/>
      <c r="H59" s="25"/>
      <c r="I59" s="25"/>
      <c r="J59" s="25"/>
      <c r="K59" s="25"/>
      <c r="L59" s="25"/>
      <c r="M59" s="25"/>
      <c r="N59" s="25"/>
      <c r="O59" s="25"/>
      <c r="P59" s="25"/>
      <c r="Q59" s="25"/>
      <c r="R59" s="25"/>
      <c r="S59" s="25"/>
      <c r="T59" s="25"/>
      <c r="U59" s="25"/>
      <c r="V59" s="25"/>
      <c r="W59" s="25"/>
      <c r="X59" s="25"/>
      <c r="Y59" s="25"/>
      <c r="Z59" s="25"/>
      <c r="AA59" s="25"/>
    </row>
    <row r="60" ht="15.75" customHeight="1">
      <c r="A60" s="73"/>
      <c r="H60" s="25"/>
      <c r="I60" s="25"/>
      <c r="J60" s="25"/>
      <c r="K60" s="25"/>
      <c r="L60" s="25"/>
      <c r="M60" s="25"/>
      <c r="N60" s="25"/>
      <c r="O60" s="25"/>
      <c r="P60" s="25"/>
      <c r="Q60" s="25"/>
      <c r="R60" s="25"/>
      <c r="S60" s="25"/>
      <c r="T60" s="25"/>
      <c r="U60" s="25"/>
      <c r="V60" s="25"/>
      <c r="W60" s="25"/>
      <c r="X60" s="25"/>
      <c r="Y60" s="25"/>
      <c r="Z60" s="25"/>
      <c r="AA60" s="25"/>
    </row>
    <row r="61" ht="15.75" customHeight="1">
      <c r="A61" s="73"/>
      <c r="H61" s="25"/>
      <c r="I61" s="25"/>
      <c r="J61" s="25"/>
      <c r="K61" s="25"/>
      <c r="L61" s="25"/>
      <c r="M61" s="25"/>
      <c r="N61" s="25"/>
      <c r="O61" s="25"/>
      <c r="P61" s="25"/>
      <c r="Q61" s="25"/>
      <c r="R61" s="25"/>
      <c r="S61" s="25"/>
      <c r="T61" s="25"/>
      <c r="U61" s="25"/>
      <c r="V61" s="25"/>
      <c r="W61" s="25"/>
      <c r="X61" s="25"/>
      <c r="Y61" s="25"/>
      <c r="Z61" s="25"/>
      <c r="AA61" s="25"/>
    </row>
    <row r="62" ht="15.75" customHeight="1">
      <c r="A62" s="73"/>
      <c r="H62" s="25"/>
      <c r="I62" s="25"/>
      <c r="J62" s="25"/>
      <c r="K62" s="25"/>
      <c r="L62" s="25"/>
      <c r="M62" s="25"/>
      <c r="N62" s="25"/>
      <c r="O62" s="25"/>
      <c r="P62" s="25"/>
      <c r="Q62" s="25"/>
      <c r="R62" s="25"/>
      <c r="S62" s="25"/>
      <c r="T62" s="25"/>
      <c r="U62" s="25"/>
      <c r="V62" s="25"/>
      <c r="W62" s="25"/>
      <c r="X62" s="25"/>
      <c r="Y62" s="25"/>
      <c r="Z62" s="25"/>
      <c r="AA62" s="25"/>
    </row>
    <row r="63" ht="15.75" customHeight="1">
      <c r="A63" s="73"/>
      <c r="H63" s="25"/>
      <c r="I63" s="25"/>
      <c r="J63" s="25"/>
      <c r="K63" s="25"/>
      <c r="L63" s="25"/>
      <c r="M63" s="25"/>
      <c r="N63" s="25"/>
      <c r="O63" s="25"/>
      <c r="P63" s="25"/>
      <c r="Q63" s="25"/>
      <c r="R63" s="25"/>
      <c r="S63" s="25"/>
      <c r="T63" s="25"/>
      <c r="U63" s="25"/>
      <c r="V63" s="25"/>
      <c r="W63" s="25"/>
      <c r="X63" s="25"/>
      <c r="Y63" s="25"/>
      <c r="Z63" s="25"/>
      <c r="AA63" s="25"/>
    </row>
    <row r="64" ht="15.75" customHeight="1">
      <c r="A64" s="73"/>
      <c r="H64" s="25"/>
      <c r="I64" s="25"/>
      <c r="J64" s="25"/>
      <c r="K64" s="25"/>
      <c r="L64" s="25"/>
      <c r="M64" s="25"/>
      <c r="N64" s="25"/>
      <c r="O64" s="25"/>
      <c r="P64" s="25"/>
      <c r="Q64" s="25"/>
      <c r="R64" s="25"/>
      <c r="S64" s="25"/>
      <c r="T64" s="25"/>
      <c r="U64" s="25"/>
      <c r="V64" s="25"/>
      <c r="W64" s="25"/>
      <c r="X64" s="25"/>
      <c r="Y64" s="25"/>
      <c r="Z64" s="25"/>
      <c r="AA64" s="25"/>
    </row>
    <row r="65" ht="15.75" customHeight="1">
      <c r="A65" s="73"/>
      <c r="H65" s="25"/>
      <c r="I65" s="25"/>
      <c r="J65" s="25"/>
      <c r="K65" s="25"/>
      <c r="L65" s="25"/>
      <c r="M65" s="25"/>
      <c r="N65" s="25"/>
      <c r="O65" s="25"/>
      <c r="P65" s="25"/>
      <c r="Q65" s="25"/>
      <c r="R65" s="25"/>
      <c r="S65" s="25"/>
      <c r="T65" s="25"/>
      <c r="U65" s="25"/>
      <c r="V65" s="25"/>
      <c r="W65" s="25"/>
      <c r="X65" s="25"/>
      <c r="Y65" s="25"/>
      <c r="Z65" s="25"/>
      <c r="AA65" s="25"/>
    </row>
    <row r="66" ht="15.75" customHeight="1">
      <c r="A66" s="73"/>
      <c r="H66" s="25"/>
      <c r="I66" s="25"/>
      <c r="J66" s="25"/>
      <c r="K66" s="25"/>
      <c r="L66" s="25"/>
      <c r="M66" s="25"/>
      <c r="N66" s="25"/>
      <c r="O66" s="25"/>
      <c r="P66" s="25"/>
      <c r="Q66" s="25"/>
      <c r="R66" s="25"/>
      <c r="S66" s="25"/>
      <c r="T66" s="25"/>
      <c r="U66" s="25"/>
      <c r="V66" s="25"/>
      <c r="W66" s="25"/>
      <c r="X66" s="25"/>
      <c r="Y66" s="25"/>
      <c r="Z66" s="25"/>
      <c r="AA66" s="25"/>
    </row>
    <row r="67" ht="45.75" customHeight="1">
      <c r="A67" s="73"/>
      <c r="H67" s="25"/>
      <c r="I67" s="25"/>
      <c r="J67" s="25"/>
      <c r="K67" s="25"/>
      <c r="L67" s="25"/>
      <c r="M67" s="25"/>
      <c r="N67" s="25"/>
      <c r="O67" s="25"/>
      <c r="P67" s="25"/>
      <c r="Q67" s="25"/>
      <c r="R67" s="25"/>
      <c r="S67" s="25"/>
      <c r="T67" s="25"/>
      <c r="U67" s="25"/>
      <c r="V67" s="25"/>
      <c r="W67" s="25"/>
      <c r="X67" s="25"/>
      <c r="Y67" s="25"/>
      <c r="Z67" s="25"/>
      <c r="AA67" s="25"/>
    </row>
    <row r="68" ht="30.75" customHeight="1">
      <c r="A68" s="73"/>
      <c r="H68" s="25"/>
      <c r="I68" s="25"/>
      <c r="J68" s="25"/>
      <c r="K68" s="25"/>
      <c r="L68" s="25"/>
      <c r="M68" s="25"/>
      <c r="N68" s="25"/>
      <c r="O68" s="25"/>
      <c r="P68" s="25"/>
      <c r="Q68" s="25"/>
      <c r="R68" s="25"/>
      <c r="S68" s="25"/>
      <c r="T68" s="25"/>
      <c r="U68" s="25"/>
      <c r="V68" s="25"/>
      <c r="W68" s="25"/>
      <c r="X68" s="25"/>
      <c r="Y68" s="25"/>
      <c r="Z68" s="25"/>
      <c r="AA68" s="25"/>
    </row>
    <row r="69" ht="42.0" customHeight="1">
      <c r="A69" s="58"/>
      <c r="H69" s="25"/>
      <c r="I69" s="25"/>
      <c r="J69" s="25"/>
      <c r="K69" s="25"/>
      <c r="L69" s="25"/>
      <c r="M69" s="25"/>
      <c r="N69" s="25"/>
      <c r="O69" s="25"/>
      <c r="P69" s="25"/>
      <c r="Q69" s="25"/>
      <c r="R69" s="25"/>
      <c r="S69" s="25"/>
      <c r="T69" s="25"/>
      <c r="U69" s="25"/>
      <c r="V69" s="25"/>
      <c r="W69" s="25"/>
      <c r="X69" s="25"/>
      <c r="Y69" s="25"/>
      <c r="Z69" s="25"/>
      <c r="AA69" s="25"/>
    </row>
    <row r="70" ht="38.25" customHeight="1">
      <c r="A70" s="58"/>
      <c r="H70" s="25"/>
      <c r="I70" s="25"/>
      <c r="J70" s="25"/>
      <c r="K70" s="25"/>
      <c r="L70" s="25"/>
      <c r="M70" s="25"/>
      <c r="N70" s="25"/>
      <c r="O70" s="25"/>
      <c r="P70" s="25"/>
      <c r="Q70" s="25"/>
      <c r="R70" s="25"/>
      <c r="S70" s="25"/>
      <c r="T70" s="25"/>
      <c r="U70" s="25"/>
      <c r="V70" s="25"/>
      <c r="W70" s="25"/>
      <c r="X70" s="25"/>
      <c r="Y70" s="25"/>
      <c r="Z70" s="25"/>
      <c r="AA70" s="25"/>
    </row>
    <row r="71" ht="45.75" customHeight="1">
      <c r="A71" s="58"/>
      <c r="H71" s="25"/>
      <c r="I71" s="25"/>
      <c r="J71" s="25"/>
      <c r="K71" s="25"/>
      <c r="L71" s="25"/>
      <c r="M71" s="25"/>
      <c r="N71" s="25"/>
      <c r="O71" s="25"/>
      <c r="P71" s="25"/>
      <c r="Q71" s="25"/>
      <c r="R71" s="25"/>
      <c r="S71" s="25"/>
      <c r="T71" s="25"/>
      <c r="U71" s="25"/>
      <c r="V71" s="25"/>
      <c r="W71" s="25"/>
      <c r="X71" s="25"/>
      <c r="Y71" s="25"/>
      <c r="Z71" s="25"/>
      <c r="AA71" s="25"/>
    </row>
    <row r="72" ht="27.75" customHeight="1">
      <c r="A72" s="58"/>
      <c r="H72" s="25"/>
      <c r="I72" s="25"/>
      <c r="J72" s="25"/>
      <c r="K72" s="25"/>
      <c r="L72" s="25"/>
      <c r="M72" s="25"/>
      <c r="N72" s="25"/>
      <c r="O72" s="25"/>
      <c r="P72" s="25"/>
      <c r="Q72" s="25"/>
      <c r="R72" s="25"/>
      <c r="S72" s="25"/>
      <c r="T72" s="25"/>
      <c r="U72" s="25"/>
      <c r="V72" s="25"/>
      <c r="W72" s="25"/>
      <c r="X72" s="25"/>
      <c r="Y72" s="25"/>
      <c r="Z72" s="25"/>
      <c r="AA72" s="25"/>
    </row>
    <row r="73" ht="33.0" customHeight="1">
      <c r="A73" s="58"/>
      <c r="H73" s="25"/>
      <c r="I73" s="25"/>
      <c r="J73" s="25"/>
      <c r="K73" s="25"/>
      <c r="L73" s="25"/>
      <c r="M73" s="25"/>
      <c r="N73" s="25"/>
      <c r="O73" s="25"/>
      <c r="P73" s="25"/>
      <c r="Q73" s="25"/>
      <c r="R73" s="25"/>
      <c r="S73" s="25"/>
      <c r="T73" s="25"/>
      <c r="U73" s="25"/>
      <c r="V73" s="25"/>
      <c r="W73" s="25"/>
      <c r="X73" s="25"/>
      <c r="Y73" s="25"/>
      <c r="Z73" s="25"/>
      <c r="AA73" s="25"/>
    </row>
    <row r="74" ht="30.0" customHeight="1">
      <c r="A74" s="58"/>
      <c r="H74" s="25"/>
      <c r="I74" s="25"/>
      <c r="J74" s="25"/>
      <c r="K74" s="25"/>
      <c r="L74" s="25"/>
      <c r="M74" s="25"/>
      <c r="N74" s="25"/>
      <c r="O74" s="25"/>
      <c r="P74" s="25"/>
      <c r="Q74" s="25"/>
      <c r="R74" s="25"/>
      <c r="S74" s="25"/>
      <c r="T74" s="25"/>
      <c r="U74" s="25"/>
      <c r="V74" s="25"/>
      <c r="W74" s="25"/>
      <c r="X74" s="25"/>
      <c r="Y74" s="25"/>
      <c r="Z74" s="25"/>
      <c r="AA74" s="25"/>
    </row>
    <row r="75" ht="67.5" customHeight="1">
      <c r="A75" s="58"/>
      <c r="H75" s="25"/>
      <c r="I75" s="25"/>
      <c r="J75" s="25"/>
      <c r="K75" s="25"/>
      <c r="L75" s="25"/>
      <c r="M75" s="25"/>
      <c r="N75" s="25"/>
      <c r="O75" s="25"/>
      <c r="P75" s="25"/>
      <c r="Q75" s="25"/>
      <c r="R75" s="25"/>
      <c r="S75" s="25"/>
      <c r="T75" s="25"/>
      <c r="U75" s="25"/>
      <c r="V75" s="25"/>
      <c r="W75" s="25"/>
      <c r="X75" s="25"/>
      <c r="Y75" s="25"/>
      <c r="Z75" s="25"/>
      <c r="AA75" s="25"/>
    </row>
    <row r="76" ht="66.75" customHeight="1">
      <c r="A76" s="58"/>
      <c r="H76" s="25"/>
      <c r="I76" s="25"/>
      <c r="J76" s="25"/>
      <c r="K76" s="25"/>
      <c r="L76" s="25"/>
      <c r="M76" s="25"/>
      <c r="N76" s="25"/>
      <c r="O76" s="25"/>
      <c r="P76" s="25"/>
      <c r="Q76" s="25"/>
      <c r="R76" s="25"/>
      <c r="S76" s="25"/>
      <c r="T76" s="25"/>
      <c r="U76" s="25"/>
      <c r="V76" s="25"/>
      <c r="W76" s="25"/>
      <c r="X76" s="25"/>
      <c r="Y76" s="25"/>
      <c r="Z76" s="25"/>
      <c r="AA76" s="25"/>
    </row>
    <row r="77" ht="40.5" customHeight="1">
      <c r="A77" s="58"/>
      <c r="H77" s="25"/>
      <c r="I77" s="25"/>
      <c r="J77" s="25"/>
      <c r="K77" s="25"/>
      <c r="L77" s="25"/>
      <c r="M77" s="25"/>
      <c r="N77" s="25"/>
      <c r="O77" s="25"/>
      <c r="P77" s="25"/>
      <c r="Q77" s="25"/>
      <c r="R77" s="25"/>
      <c r="S77" s="25"/>
      <c r="T77" s="25"/>
      <c r="U77" s="25"/>
      <c r="V77" s="25"/>
      <c r="W77" s="25"/>
      <c r="X77" s="25"/>
      <c r="Y77" s="25"/>
      <c r="Z77" s="25"/>
      <c r="AA77" s="25"/>
    </row>
    <row r="78" ht="12.75" customHeight="1">
      <c r="A78" s="58"/>
      <c r="H78" s="24"/>
      <c r="I78" s="25"/>
      <c r="J78" s="25"/>
      <c r="K78" s="25"/>
      <c r="L78" s="25"/>
      <c r="M78" s="25"/>
      <c r="N78" s="25"/>
      <c r="O78" s="25"/>
      <c r="P78" s="25"/>
      <c r="Q78" s="25"/>
      <c r="R78" s="25"/>
      <c r="S78" s="25"/>
      <c r="T78" s="25"/>
      <c r="U78" s="25"/>
      <c r="V78" s="25"/>
      <c r="W78" s="25"/>
      <c r="X78" s="25"/>
      <c r="Y78" s="25"/>
      <c r="Z78" s="25"/>
      <c r="AA78" s="25"/>
    </row>
    <row r="79" ht="30.0" customHeight="1">
      <c r="A79" s="58"/>
      <c r="H79" s="21"/>
      <c r="I79" s="25"/>
      <c r="J79" s="25"/>
      <c r="K79" s="25"/>
      <c r="L79" s="25"/>
      <c r="M79" s="25"/>
      <c r="N79" s="25"/>
      <c r="O79" s="25"/>
      <c r="P79" s="25"/>
      <c r="Q79" s="25"/>
      <c r="R79" s="25"/>
      <c r="S79" s="25"/>
      <c r="T79" s="25"/>
      <c r="U79" s="25"/>
      <c r="V79" s="25"/>
      <c r="W79" s="25"/>
      <c r="X79" s="25"/>
      <c r="Y79" s="25"/>
      <c r="Z79" s="25"/>
      <c r="AA79" s="25"/>
    </row>
    <row r="80" ht="15.75" customHeight="1">
      <c r="A80" s="26"/>
      <c r="H80" s="21"/>
      <c r="I80" s="25"/>
      <c r="J80" s="25"/>
      <c r="K80" s="25"/>
      <c r="L80" s="25"/>
      <c r="M80" s="25"/>
      <c r="N80" s="25"/>
      <c r="O80" s="25"/>
      <c r="P80" s="25"/>
      <c r="Q80" s="25"/>
      <c r="R80" s="25"/>
      <c r="S80" s="25"/>
      <c r="T80" s="25"/>
      <c r="U80" s="25"/>
      <c r="V80" s="25"/>
      <c r="W80" s="25"/>
      <c r="X80" s="25"/>
      <c r="Y80" s="25"/>
      <c r="Z80" s="25"/>
      <c r="AA80" s="25"/>
    </row>
    <row r="81" ht="15.75" customHeight="1">
      <c r="A81" s="47"/>
      <c r="H81" s="21"/>
      <c r="I81" s="25"/>
      <c r="J81" s="25"/>
      <c r="K81" s="25"/>
      <c r="L81" s="25"/>
      <c r="M81" s="25"/>
      <c r="N81" s="25"/>
      <c r="O81" s="25"/>
      <c r="P81" s="25"/>
      <c r="Q81" s="25"/>
      <c r="R81" s="25"/>
      <c r="S81" s="25"/>
      <c r="T81" s="25"/>
      <c r="U81" s="25"/>
      <c r="V81" s="25"/>
      <c r="W81" s="25"/>
      <c r="X81" s="25"/>
      <c r="Y81" s="25"/>
      <c r="Z81" s="25"/>
      <c r="AA81" s="25"/>
    </row>
    <row r="82" ht="15.75" customHeight="1">
      <c r="A82" s="47"/>
      <c r="H82" s="21"/>
      <c r="I82" s="25"/>
      <c r="J82" s="25"/>
      <c r="K82" s="25"/>
      <c r="L82" s="25"/>
      <c r="M82" s="25"/>
      <c r="N82" s="25"/>
      <c r="O82" s="25"/>
      <c r="P82" s="25"/>
      <c r="Q82" s="25"/>
      <c r="R82" s="25"/>
      <c r="S82" s="25"/>
      <c r="T82" s="25"/>
      <c r="U82" s="25"/>
      <c r="V82" s="25"/>
      <c r="W82" s="25"/>
      <c r="X82" s="25"/>
      <c r="Y82" s="25"/>
      <c r="Z82" s="25"/>
      <c r="AA82" s="25"/>
    </row>
    <row r="83" ht="15.75" customHeight="1">
      <c r="A83" s="47"/>
      <c r="H83" s="21"/>
      <c r="I83" s="25"/>
      <c r="J83" s="25"/>
      <c r="K83" s="25"/>
      <c r="L83" s="25"/>
      <c r="M83" s="25"/>
      <c r="N83" s="25"/>
      <c r="O83" s="25"/>
      <c r="P83" s="25"/>
      <c r="Q83" s="25"/>
      <c r="R83" s="25"/>
      <c r="S83" s="25"/>
      <c r="T83" s="25"/>
      <c r="U83" s="25"/>
      <c r="V83" s="25"/>
      <c r="W83" s="25"/>
      <c r="X83" s="25"/>
      <c r="Y83" s="25"/>
      <c r="Z83" s="25"/>
      <c r="AA83" s="25"/>
    </row>
    <row r="84" ht="15.75" customHeight="1">
      <c r="A84" s="77"/>
      <c r="B84" s="76"/>
      <c r="C84" s="76"/>
      <c r="D84" s="76"/>
      <c r="E84" s="76"/>
      <c r="F84" s="76"/>
      <c r="G84" s="76"/>
      <c r="H84" s="24"/>
      <c r="I84" s="25"/>
      <c r="J84" s="25"/>
      <c r="K84" s="25"/>
      <c r="L84" s="25"/>
      <c r="M84" s="25"/>
      <c r="N84" s="25"/>
      <c r="O84" s="25"/>
      <c r="P84" s="25"/>
      <c r="Q84" s="25"/>
      <c r="R84" s="25"/>
      <c r="S84" s="25"/>
      <c r="T84" s="25"/>
      <c r="U84" s="25"/>
      <c r="V84" s="25"/>
      <c r="W84" s="25"/>
      <c r="X84" s="25"/>
      <c r="Y84" s="25"/>
      <c r="Z84" s="25"/>
      <c r="AA84" s="25"/>
    </row>
    <row r="85" ht="24.0" customHeight="1">
      <c r="A85" s="77"/>
      <c r="B85" s="76"/>
      <c r="C85" s="76"/>
      <c r="D85" s="76"/>
      <c r="E85" s="76"/>
      <c r="F85" s="76"/>
      <c r="G85" s="76"/>
      <c r="H85" s="24"/>
      <c r="I85" s="25"/>
      <c r="J85" s="25"/>
      <c r="K85" s="25"/>
      <c r="L85" s="25"/>
      <c r="M85" s="25"/>
      <c r="N85" s="25"/>
      <c r="O85" s="25"/>
      <c r="P85" s="25"/>
      <c r="Q85" s="25"/>
      <c r="R85" s="25"/>
      <c r="S85" s="25"/>
      <c r="T85" s="25"/>
      <c r="U85" s="25"/>
      <c r="V85" s="25"/>
      <c r="W85" s="25"/>
      <c r="X85" s="25"/>
      <c r="Y85" s="25"/>
      <c r="Z85" s="25"/>
      <c r="AA85" s="25"/>
    </row>
    <row r="86" ht="15.75" customHeight="1">
      <c r="A86" s="26"/>
      <c r="B86" s="78"/>
      <c r="C86" s="78"/>
      <c r="D86" s="78"/>
      <c r="E86" s="78"/>
      <c r="F86" s="78"/>
      <c r="G86" s="79"/>
      <c r="H86" s="80"/>
      <c r="I86" s="25"/>
      <c r="J86" s="25"/>
      <c r="K86" s="25"/>
      <c r="L86" s="25"/>
      <c r="M86" s="25"/>
      <c r="N86" s="25"/>
      <c r="O86" s="25"/>
      <c r="P86" s="25"/>
      <c r="Q86" s="25"/>
      <c r="R86" s="25"/>
      <c r="S86" s="25"/>
      <c r="T86" s="25"/>
      <c r="U86" s="25"/>
      <c r="V86" s="25"/>
      <c r="W86" s="25"/>
      <c r="X86" s="25"/>
      <c r="Y86" s="25"/>
      <c r="Z86" s="25"/>
      <c r="AA86" s="25"/>
    </row>
    <row r="87" ht="15.75" customHeight="1">
      <c r="A87" s="26"/>
      <c r="H87" s="80"/>
      <c r="I87" s="25"/>
      <c r="J87" s="25"/>
      <c r="K87" s="25"/>
      <c r="L87" s="25"/>
      <c r="M87" s="25"/>
      <c r="N87" s="25"/>
      <c r="O87" s="25"/>
      <c r="P87" s="25"/>
      <c r="Q87" s="25"/>
      <c r="R87" s="25"/>
      <c r="S87" s="25"/>
      <c r="T87" s="25"/>
      <c r="U87" s="25"/>
      <c r="V87" s="25"/>
      <c r="W87" s="25"/>
      <c r="X87" s="25"/>
      <c r="Y87" s="25"/>
      <c r="Z87" s="25"/>
      <c r="AA87" s="25"/>
    </row>
    <row r="88" ht="27.0" customHeight="1">
      <c r="A88" s="57"/>
      <c r="H88" s="25"/>
      <c r="I88" s="25"/>
      <c r="J88" s="25"/>
      <c r="K88" s="25"/>
      <c r="L88" s="25"/>
      <c r="M88" s="25"/>
      <c r="N88" s="25"/>
      <c r="O88" s="25"/>
      <c r="P88" s="25"/>
      <c r="Q88" s="25"/>
      <c r="R88" s="25"/>
      <c r="S88" s="25"/>
      <c r="T88" s="25"/>
      <c r="U88" s="25"/>
      <c r="V88" s="25"/>
      <c r="W88" s="25"/>
      <c r="X88" s="25"/>
      <c r="Y88" s="25"/>
      <c r="Z88" s="25"/>
      <c r="AA88" s="25"/>
    </row>
    <row r="89" ht="16.5" customHeight="1">
      <c r="A89" s="81"/>
      <c r="H89" s="25"/>
      <c r="I89" s="25"/>
      <c r="J89" s="25"/>
      <c r="K89" s="25"/>
      <c r="L89" s="25"/>
      <c r="M89" s="25"/>
      <c r="N89" s="25"/>
      <c r="O89" s="25"/>
      <c r="P89" s="25"/>
      <c r="Q89" s="25"/>
      <c r="R89" s="25"/>
      <c r="S89" s="25"/>
      <c r="T89" s="25"/>
      <c r="U89" s="25"/>
      <c r="V89" s="25"/>
      <c r="W89" s="25"/>
      <c r="X89" s="25"/>
      <c r="Y89" s="25"/>
      <c r="Z89" s="25"/>
      <c r="AA89" s="25"/>
    </row>
    <row r="90" ht="18.75" customHeight="1">
      <c r="A90" s="81"/>
      <c r="H90" s="25"/>
      <c r="I90" s="25"/>
      <c r="J90" s="25"/>
      <c r="K90" s="25"/>
      <c r="L90" s="25"/>
      <c r="M90" s="25"/>
      <c r="N90" s="25"/>
      <c r="O90" s="25"/>
      <c r="P90" s="25"/>
      <c r="Q90" s="25"/>
      <c r="R90" s="25"/>
      <c r="S90" s="25"/>
      <c r="T90" s="25"/>
      <c r="U90" s="25"/>
      <c r="V90" s="25"/>
      <c r="W90" s="25"/>
      <c r="X90" s="25"/>
      <c r="Y90" s="25"/>
      <c r="Z90" s="25"/>
      <c r="AA90" s="25"/>
    </row>
    <row r="91" ht="31.5" customHeight="1">
      <c r="A91" s="81"/>
      <c r="H91" s="25"/>
      <c r="I91" s="25"/>
      <c r="J91" s="25"/>
      <c r="K91" s="25"/>
      <c r="L91" s="25"/>
      <c r="M91" s="25"/>
      <c r="N91" s="25"/>
      <c r="O91" s="25"/>
      <c r="P91" s="25"/>
      <c r="Q91" s="25"/>
      <c r="R91" s="25"/>
      <c r="S91" s="25"/>
      <c r="T91" s="25"/>
      <c r="U91" s="25"/>
      <c r="V91" s="25"/>
      <c r="W91" s="25"/>
      <c r="X91" s="25"/>
      <c r="Y91" s="25"/>
      <c r="Z91" s="25"/>
      <c r="AA91" s="25"/>
    </row>
    <row r="92" ht="38.25" customHeight="1">
      <c r="A92" s="81"/>
      <c r="H92" s="25"/>
      <c r="I92" s="25"/>
      <c r="J92" s="25"/>
      <c r="K92" s="25"/>
      <c r="L92" s="25"/>
      <c r="M92" s="25"/>
      <c r="N92" s="25"/>
      <c r="O92" s="25"/>
      <c r="P92" s="25"/>
      <c r="Q92" s="25"/>
      <c r="R92" s="25"/>
      <c r="S92" s="25"/>
      <c r="T92" s="25"/>
      <c r="U92" s="25"/>
      <c r="V92" s="25"/>
      <c r="W92" s="25"/>
      <c r="X92" s="25"/>
      <c r="Y92" s="25"/>
      <c r="Z92" s="25"/>
      <c r="AA92" s="25"/>
    </row>
    <row r="93" ht="15.75" customHeight="1">
      <c r="A93" s="81"/>
      <c r="H93" s="25"/>
      <c r="I93" s="25"/>
      <c r="J93" s="25"/>
      <c r="K93" s="25"/>
      <c r="L93" s="25"/>
      <c r="M93" s="25"/>
      <c r="N93" s="25"/>
      <c r="O93" s="25"/>
      <c r="P93" s="25"/>
      <c r="Q93" s="25"/>
      <c r="R93" s="25"/>
      <c r="S93" s="25"/>
      <c r="T93" s="25"/>
      <c r="U93" s="25"/>
      <c r="V93" s="25"/>
      <c r="W93" s="25"/>
      <c r="X93" s="25"/>
      <c r="Y93" s="25"/>
      <c r="Z93" s="25"/>
      <c r="AA93" s="25"/>
    </row>
    <row r="94" ht="15.75" customHeight="1">
      <c r="A94" s="81"/>
      <c r="H94" s="25"/>
      <c r="I94" s="25"/>
      <c r="J94" s="25"/>
      <c r="K94" s="25"/>
      <c r="L94" s="25"/>
      <c r="M94" s="25"/>
      <c r="N94" s="25"/>
      <c r="O94" s="25"/>
      <c r="P94" s="25"/>
      <c r="Q94" s="25"/>
      <c r="R94" s="25"/>
      <c r="S94" s="25"/>
      <c r="T94" s="25"/>
      <c r="U94" s="25"/>
      <c r="V94" s="25"/>
      <c r="W94" s="25"/>
      <c r="X94" s="25"/>
      <c r="Y94" s="25"/>
      <c r="Z94" s="25"/>
      <c r="AA94" s="25"/>
    </row>
    <row r="95" ht="15.75" customHeight="1">
      <c r="A95" s="81"/>
      <c r="H95" s="25"/>
      <c r="I95" s="25"/>
      <c r="J95" s="25"/>
      <c r="K95" s="25"/>
      <c r="L95" s="25"/>
      <c r="M95" s="25"/>
      <c r="N95" s="25"/>
      <c r="O95" s="25"/>
      <c r="P95" s="25"/>
      <c r="Q95" s="25"/>
      <c r="R95" s="25"/>
      <c r="S95" s="25"/>
      <c r="T95" s="25"/>
      <c r="U95" s="25"/>
      <c r="V95" s="25"/>
      <c r="W95" s="25"/>
      <c r="X95" s="25"/>
      <c r="Y95" s="25"/>
      <c r="Z95" s="25"/>
      <c r="AA95" s="25"/>
    </row>
    <row r="96" ht="15.75" customHeight="1">
      <c r="A96" s="81"/>
      <c r="H96" s="25"/>
      <c r="I96" s="25"/>
      <c r="J96" s="25"/>
      <c r="K96" s="25"/>
      <c r="L96" s="25"/>
      <c r="M96" s="25"/>
      <c r="N96" s="25"/>
      <c r="O96" s="25"/>
      <c r="P96" s="25"/>
      <c r="Q96" s="25"/>
      <c r="R96" s="25"/>
      <c r="S96" s="25"/>
      <c r="T96" s="25"/>
      <c r="U96" s="25"/>
      <c r="V96" s="25"/>
      <c r="W96" s="25"/>
      <c r="X96" s="25"/>
      <c r="Y96" s="25"/>
      <c r="Z96" s="25"/>
      <c r="AA96" s="25"/>
    </row>
    <row r="97" ht="15.75" customHeight="1">
      <c r="A97" s="81"/>
      <c r="H97" s="25"/>
      <c r="I97" s="25"/>
      <c r="J97" s="25"/>
      <c r="K97" s="25"/>
      <c r="L97" s="25"/>
      <c r="M97" s="25"/>
      <c r="N97" s="25"/>
      <c r="O97" s="25"/>
      <c r="P97" s="25"/>
      <c r="Q97" s="25"/>
      <c r="R97" s="25"/>
      <c r="S97" s="25"/>
      <c r="T97" s="25"/>
      <c r="U97" s="25"/>
      <c r="V97" s="25"/>
      <c r="W97" s="25"/>
      <c r="X97" s="25"/>
      <c r="Y97" s="25"/>
      <c r="Z97" s="25"/>
      <c r="AA97" s="25"/>
    </row>
    <row r="98" ht="15.75" customHeight="1">
      <c r="A98" s="82"/>
      <c r="H98" s="25"/>
      <c r="I98" s="25"/>
      <c r="J98" s="25"/>
      <c r="K98" s="25"/>
      <c r="L98" s="25"/>
      <c r="M98" s="25"/>
      <c r="N98" s="25"/>
      <c r="O98" s="25"/>
      <c r="P98" s="25"/>
      <c r="Q98" s="25"/>
      <c r="R98" s="25"/>
      <c r="S98" s="25"/>
      <c r="T98" s="25"/>
      <c r="U98" s="25"/>
      <c r="V98" s="25"/>
      <c r="W98" s="25"/>
      <c r="X98" s="25"/>
      <c r="Y98" s="25"/>
      <c r="Z98" s="25"/>
      <c r="AA98" s="25"/>
    </row>
    <row r="99" ht="15.75" customHeight="1">
      <c r="A99" s="82"/>
      <c r="H99" s="25"/>
      <c r="I99" s="25"/>
      <c r="J99" s="25"/>
      <c r="K99" s="25"/>
      <c r="L99" s="25"/>
      <c r="M99" s="25"/>
      <c r="N99" s="25"/>
      <c r="O99" s="25"/>
      <c r="P99" s="25"/>
      <c r="Q99" s="25"/>
      <c r="R99" s="25"/>
      <c r="S99" s="25"/>
      <c r="T99" s="25"/>
      <c r="U99" s="25"/>
      <c r="V99" s="25"/>
      <c r="W99" s="25"/>
      <c r="X99" s="25"/>
      <c r="Y99" s="25"/>
      <c r="Z99" s="25"/>
      <c r="AA99" s="25"/>
    </row>
    <row r="100" ht="27.0" customHeight="1">
      <c r="A100" s="58"/>
      <c r="H100" s="25"/>
      <c r="I100" s="25"/>
      <c r="J100" s="25"/>
      <c r="K100" s="25"/>
      <c r="L100" s="25"/>
      <c r="M100" s="25"/>
      <c r="N100" s="25"/>
      <c r="O100" s="25"/>
      <c r="P100" s="25"/>
      <c r="Q100" s="25"/>
      <c r="R100" s="25"/>
      <c r="S100" s="25"/>
      <c r="T100" s="25"/>
      <c r="U100" s="25"/>
      <c r="V100" s="25"/>
      <c r="W100" s="25"/>
      <c r="X100" s="25"/>
      <c r="Y100" s="25"/>
      <c r="Z100" s="25"/>
      <c r="AA100" s="25"/>
    </row>
    <row r="101" ht="27.75" customHeight="1">
      <c r="A101" s="58"/>
      <c r="H101" s="25"/>
      <c r="I101" s="25"/>
      <c r="J101" s="25"/>
      <c r="K101" s="25"/>
      <c r="L101" s="25"/>
      <c r="M101" s="25"/>
      <c r="N101" s="25"/>
      <c r="O101" s="25"/>
      <c r="P101" s="25"/>
      <c r="Q101" s="25"/>
      <c r="R101" s="25"/>
      <c r="S101" s="25"/>
      <c r="T101" s="25"/>
      <c r="U101" s="25"/>
      <c r="V101" s="25"/>
      <c r="W101" s="25"/>
      <c r="X101" s="25"/>
      <c r="Y101" s="25"/>
      <c r="Z101" s="25"/>
      <c r="AA101" s="25"/>
    </row>
    <row r="102" ht="33.0" customHeight="1">
      <c r="A102" s="58"/>
      <c r="H102" s="25"/>
      <c r="I102" s="25"/>
      <c r="J102" s="25"/>
      <c r="K102" s="25"/>
      <c r="L102" s="25"/>
      <c r="M102" s="25"/>
      <c r="N102" s="25"/>
      <c r="O102" s="25"/>
      <c r="P102" s="25"/>
      <c r="Q102" s="25"/>
      <c r="R102" s="25"/>
      <c r="S102" s="25"/>
      <c r="T102" s="25"/>
      <c r="U102" s="25"/>
      <c r="V102" s="25"/>
      <c r="W102" s="25"/>
      <c r="X102" s="25"/>
      <c r="Y102" s="25"/>
      <c r="Z102" s="25"/>
      <c r="AA102" s="25"/>
    </row>
    <row r="103" ht="27.75" customHeight="1">
      <c r="A103" s="58"/>
      <c r="H103" s="25"/>
      <c r="I103" s="25"/>
      <c r="J103" s="25"/>
      <c r="K103" s="25"/>
      <c r="L103" s="25"/>
      <c r="M103" s="25"/>
      <c r="N103" s="25"/>
      <c r="O103" s="25"/>
      <c r="P103" s="25"/>
      <c r="Q103" s="25"/>
      <c r="R103" s="25"/>
      <c r="S103" s="25"/>
      <c r="T103" s="25"/>
      <c r="U103" s="25"/>
      <c r="V103" s="25"/>
      <c r="W103" s="25"/>
      <c r="X103" s="25"/>
      <c r="Y103" s="25"/>
      <c r="Z103" s="25"/>
      <c r="AA103" s="25"/>
    </row>
    <row r="104" ht="27.75" customHeight="1">
      <c r="A104" s="58"/>
      <c r="H104" s="25"/>
      <c r="I104" s="25"/>
      <c r="J104" s="25"/>
      <c r="K104" s="25"/>
      <c r="L104" s="25"/>
      <c r="M104" s="25"/>
      <c r="N104" s="25"/>
      <c r="O104" s="25"/>
      <c r="P104" s="25"/>
      <c r="Q104" s="25"/>
      <c r="R104" s="25"/>
      <c r="S104" s="25"/>
      <c r="T104" s="25"/>
      <c r="U104" s="25"/>
      <c r="V104" s="25"/>
      <c r="W104" s="25"/>
      <c r="X104" s="25"/>
      <c r="Y104" s="25"/>
      <c r="Z104" s="25"/>
      <c r="AA104" s="25"/>
    </row>
    <row r="105" ht="15.75" customHeight="1">
      <c r="A105" s="58"/>
      <c r="H105" s="25"/>
      <c r="I105" s="25"/>
      <c r="J105" s="25"/>
      <c r="K105" s="25"/>
      <c r="L105" s="25"/>
      <c r="M105" s="25"/>
      <c r="N105" s="25"/>
      <c r="O105" s="25"/>
      <c r="P105" s="25"/>
      <c r="Q105" s="25"/>
      <c r="R105" s="25"/>
      <c r="S105" s="25"/>
      <c r="T105" s="25"/>
      <c r="U105" s="25"/>
      <c r="V105" s="25"/>
      <c r="W105" s="25"/>
      <c r="X105" s="25"/>
      <c r="Y105" s="25"/>
      <c r="Z105" s="25"/>
      <c r="AA105" s="25"/>
    </row>
    <row r="106" ht="15.75" customHeight="1">
      <c r="A106" s="58"/>
      <c r="H106" s="25"/>
      <c r="I106" s="25"/>
      <c r="J106" s="25"/>
      <c r="K106" s="25"/>
      <c r="L106" s="25"/>
      <c r="M106" s="25"/>
      <c r="N106" s="25"/>
      <c r="O106" s="25"/>
      <c r="P106" s="25"/>
      <c r="Q106" s="25"/>
      <c r="R106" s="25"/>
      <c r="S106" s="25"/>
      <c r="T106" s="25"/>
      <c r="U106" s="25"/>
      <c r="V106" s="25"/>
      <c r="W106" s="25"/>
      <c r="X106" s="25"/>
      <c r="Y106" s="25"/>
      <c r="Z106" s="25"/>
      <c r="AA106" s="25"/>
    </row>
    <row r="107" ht="15.75" customHeight="1">
      <c r="A107" s="58"/>
      <c r="H107" s="25"/>
      <c r="I107" s="25"/>
      <c r="J107" s="25"/>
      <c r="K107" s="25"/>
      <c r="L107" s="25"/>
      <c r="M107" s="25"/>
      <c r="N107" s="25"/>
      <c r="O107" s="25"/>
      <c r="P107" s="25"/>
      <c r="Q107" s="25"/>
      <c r="R107" s="25"/>
      <c r="S107" s="25"/>
      <c r="T107" s="25"/>
      <c r="U107" s="25"/>
      <c r="V107" s="25"/>
      <c r="W107" s="25"/>
      <c r="X107" s="25"/>
      <c r="Y107" s="25"/>
      <c r="Z107" s="25"/>
      <c r="AA107" s="25"/>
    </row>
    <row r="108" ht="35.25" customHeight="1">
      <c r="A108" s="58"/>
      <c r="H108" s="25"/>
      <c r="I108" s="25"/>
      <c r="J108" s="25"/>
      <c r="K108" s="25"/>
      <c r="L108" s="25"/>
      <c r="M108" s="25"/>
      <c r="N108" s="25"/>
      <c r="O108" s="25"/>
      <c r="P108" s="25"/>
      <c r="Q108" s="25"/>
      <c r="R108" s="25"/>
      <c r="S108" s="25"/>
      <c r="T108" s="25"/>
      <c r="U108" s="25"/>
      <c r="V108" s="25"/>
      <c r="W108" s="25"/>
      <c r="X108" s="25"/>
      <c r="Y108" s="25"/>
      <c r="Z108" s="25"/>
      <c r="AA108" s="25"/>
    </row>
    <row r="109" ht="39.0" customHeight="1">
      <c r="A109" s="58"/>
      <c r="H109" s="25"/>
      <c r="I109" s="25"/>
      <c r="J109" s="25"/>
      <c r="K109" s="25"/>
      <c r="L109" s="25"/>
      <c r="M109" s="25"/>
      <c r="N109" s="25"/>
      <c r="O109" s="25"/>
      <c r="P109" s="25"/>
      <c r="Q109" s="25"/>
      <c r="R109" s="25"/>
      <c r="S109" s="25"/>
      <c r="T109" s="25"/>
      <c r="U109" s="25"/>
      <c r="V109" s="25"/>
      <c r="W109" s="25"/>
      <c r="X109" s="25"/>
      <c r="Y109" s="25"/>
      <c r="Z109" s="25"/>
      <c r="AA109" s="25"/>
    </row>
    <row r="110" ht="30.75" customHeight="1">
      <c r="A110" s="58"/>
      <c r="H110" s="25"/>
      <c r="I110" s="25"/>
      <c r="J110" s="25"/>
      <c r="K110" s="25"/>
      <c r="L110" s="25"/>
      <c r="M110" s="25"/>
      <c r="N110" s="25"/>
      <c r="O110" s="25"/>
      <c r="P110" s="25"/>
      <c r="Q110" s="25"/>
      <c r="R110" s="25"/>
      <c r="S110" s="25"/>
      <c r="T110" s="25"/>
      <c r="U110" s="25"/>
      <c r="V110" s="25"/>
      <c r="W110" s="25"/>
      <c r="X110" s="25"/>
      <c r="Y110" s="25"/>
      <c r="Z110" s="25"/>
      <c r="AA110" s="25"/>
    </row>
    <row r="111" ht="30.75" customHeight="1">
      <c r="A111" s="58"/>
      <c r="H111" s="25"/>
      <c r="I111" s="25"/>
      <c r="J111" s="25"/>
      <c r="K111" s="25"/>
      <c r="L111" s="25"/>
      <c r="M111" s="25"/>
      <c r="N111" s="25"/>
      <c r="O111" s="25"/>
      <c r="P111" s="25"/>
      <c r="Q111" s="25"/>
      <c r="R111" s="25"/>
      <c r="S111" s="25"/>
      <c r="T111" s="25"/>
      <c r="U111" s="25"/>
      <c r="V111" s="25"/>
      <c r="W111" s="25"/>
      <c r="X111" s="25"/>
      <c r="Y111" s="25"/>
      <c r="Z111" s="25"/>
      <c r="AA111" s="25"/>
    </row>
    <row r="112" ht="30.75" customHeight="1">
      <c r="A112" s="58"/>
      <c r="H112" s="25"/>
      <c r="I112" s="25"/>
      <c r="J112" s="25"/>
      <c r="K112" s="25"/>
      <c r="L112" s="25"/>
      <c r="M112" s="25"/>
      <c r="N112" s="25"/>
      <c r="O112" s="25"/>
      <c r="P112" s="25"/>
      <c r="Q112" s="25"/>
      <c r="R112" s="25"/>
      <c r="S112" s="25"/>
      <c r="T112" s="25"/>
      <c r="U112" s="25"/>
      <c r="V112" s="25"/>
      <c r="W112" s="25"/>
      <c r="X112" s="25"/>
      <c r="Y112" s="25"/>
      <c r="Z112" s="25"/>
      <c r="AA112" s="25"/>
    </row>
    <row r="113" ht="51.0" customHeight="1">
      <c r="A113" s="58"/>
      <c r="H113" s="25"/>
      <c r="I113" s="25"/>
      <c r="J113" s="25"/>
      <c r="K113" s="25"/>
      <c r="L113" s="25"/>
      <c r="M113" s="25"/>
      <c r="N113" s="25"/>
      <c r="O113" s="25"/>
      <c r="P113" s="25"/>
      <c r="Q113" s="25"/>
      <c r="R113" s="25"/>
      <c r="S113" s="25"/>
      <c r="T113" s="25"/>
      <c r="U113" s="25"/>
      <c r="V113" s="25"/>
      <c r="W113" s="25"/>
      <c r="X113" s="25"/>
      <c r="Y113" s="25"/>
      <c r="Z113" s="25"/>
      <c r="AA113" s="25"/>
    </row>
    <row r="114" ht="33.75" customHeight="1">
      <c r="A114" s="58"/>
      <c r="H114" s="25"/>
      <c r="I114" s="25"/>
      <c r="J114" s="25"/>
      <c r="K114" s="25"/>
      <c r="L114" s="25"/>
      <c r="M114" s="25"/>
      <c r="N114" s="25"/>
      <c r="O114" s="25"/>
      <c r="P114" s="25"/>
      <c r="Q114" s="25"/>
      <c r="R114" s="25"/>
      <c r="S114" s="25"/>
      <c r="T114" s="25"/>
      <c r="U114" s="25"/>
      <c r="V114" s="25"/>
      <c r="W114" s="25"/>
      <c r="X114" s="25"/>
      <c r="Y114" s="25"/>
      <c r="Z114" s="25"/>
      <c r="AA114" s="25"/>
    </row>
    <row r="115" ht="33.75" customHeight="1">
      <c r="A115" s="58"/>
      <c r="H115" s="25"/>
      <c r="I115" s="25"/>
      <c r="J115" s="25"/>
      <c r="K115" s="25"/>
      <c r="L115" s="25"/>
      <c r="M115" s="25"/>
      <c r="N115" s="25"/>
      <c r="O115" s="25"/>
      <c r="P115" s="25"/>
      <c r="Q115" s="25"/>
      <c r="R115" s="25"/>
      <c r="S115" s="25"/>
      <c r="T115" s="25"/>
      <c r="U115" s="25"/>
      <c r="V115" s="25"/>
      <c r="W115" s="25"/>
      <c r="X115" s="25"/>
      <c r="Y115" s="25"/>
      <c r="Z115" s="25"/>
      <c r="AA115" s="25"/>
    </row>
    <row r="116" ht="28.5" customHeight="1">
      <c r="A116" s="58"/>
      <c r="H116" s="25"/>
      <c r="I116" s="25"/>
      <c r="J116" s="25"/>
      <c r="K116" s="25"/>
      <c r="L116" s="25"/>
      <c r="M116" s="25"/>
      <c r="N116" s="25"/>
      <c r="O116" s="25"/>
      <c r="P116" s="25"/>
      <c r="Q116" s="25"/>
      <c r="R116" s="25"/>
      <c r="S116" s="25"/>
      <c r="T116" s="25"/>
      <c r="U116" s="25"/>
      <c r="V116" s="25"/>
      <c r="W116" s="25"/>
      <c r="X116" s="25"/>
      <c r="Y116" s="25"/>
      <c r="Z116" s="25"/>
      <c r="AA116" s="25"/>
    </row>
    <row r="117" ht="15.75" customHeight="1">
      <c r="A117" s="58"/>
      <c r="H117" s="25"/>
      <c r="I117" s="25"/>
      <c r="J117" s="25"/>
      <c r="K117" s="25"/>
      <c r="L117" s="25"/>
      <c r="M117" s="25"/>
      <c r="N117" s="25"/>
      <c r="O117" s="25"/>
      <c r="P117" s="25"/>
      <c r="Q117" s="25"/>
      <c r="R117" s="25"/>
      <c r="S117" s="25"/>
      <c r="T117" s="25"/>
      <c r="U117" s="25"/>
      <c r="V117" s="25"/>
      <c r="W117" s="25"/>
      <c r="X117" s="25"/>
      <c r="Y117" s="25"/>
      <c r="Z117" s="25"/>
      <c r="AA117" s="25"/>
    </row>
    <row r="118" ht="15.75" customHeight="1">
      <c r="A118" s="58"/>
      <c r="H118" s="25"/>
      <c r="I118" s="25"/>
      <c r="J118" s="25"/>
      <c r="K118" s="25"/>
      <c r="L118" s="25"/>
      <c r="M118" s="25"/>
      <c r="N118" s="25"/>
      <c r="O118" s="25"/>
      <c r="P118" s="25"/>
      <c r="Q118" s="25"/>
      <c r="R118" s="25"/>
      <c r="S118" s="25"/>
      <c r="T118" s="25"/>
      <c r="U118" s="25"/>
      <c r="V118" s="25"/>
      <c r="W118" s="25"/>
      <c r="X118" s="25"/>
      <c r="Y118" s="25"/>
      <c r="Z118" s="25"/>
      <c r="AA118" s="25"/>
    </row>
    <row r="119" ht="15.75" customHeight="1">
      <c r="A119" s="26"/>
      <c r="H119" s="29"/>
      <c r="I119" s="25"/>
      <c r="J119" s="25"/>
      <c r="K119" s="25"/>
      <c r="L119" s="25"/>
      <c r="M119" s="25"/>
      <c r="N119" s="25"/>
      <c r="O119" s="25"/>
      <c r="P119" s="25"/>
      <c r="Q119" s="25"/>
      <c r="R119" s="25"/>
      <c r="S119" s="25"/>
      <c r="T119" s="25"/>
      <c r="U119" s="25"/>
      <c r="V119" s="25"/>
      <c r="W119" s="25"/>
      <c r="X119" s="25"/>
      <c r="Y119" s="25"/>
      <c r="Z119" s="25"/>
      <c r="AA119" s="25"/>
    </row>
    <row r="120" ht="15.75" customHeight="1">
      <c r="A120" s="47"/>
      <c r="H120" s="21"/>
      <c r="I120" s="25"/>
      <c r="J120" s="25"/>
      <c r="K120" s="25"/>
      <c r="L120" s="25"/>
      <c r="M120" s="25"/>
      <c r="N120" s="25"/>
      <c r="O120" s="25"/>
      <c r="P120" s="25"/>
      <c r="Q120" s="25"/>
      <c r="R120" s="25"/>
      <c r="S120" s="25"/>
      <c r="T120" s="25"/>
      <c r="U120" s="25"/>
      <c r="V120" s="25"/>
      <c r="W120" s="25"/>
      <c r="X120" s="25"/>
      <c r="Y120" s="25"/>
      <c r="Z120" s="25"/>
      <c r="AA120" s="25"/>
    </row>
    <row r="121" ht="15.75" customHeight="1">
      <c r="A121" s="47"/>
      <c r="H121" s="21"/>
      <c r="I121" s="25"/>
      <c r="J121" s="25"/>
      <c r="K121" s="25"/>
      <c r="L121" s="25"/>
      <c r="M121" s="25"/>
      <c r="N121" s="25"/>
      <c r="O121" s="25"/>
      <c r="P121" s="25"/>
      <c r="Q121" s="25"/>
      <c r="R121" s="25"/>
      <c r="S121" s="25"/>
      <c r="T121" s="25"/>
      <c r="U121" s="25"/>
      <c r="V121" s="25"/>
      <c r="W121" s="25"/>
      <c r="X121" s="25"/>
      <c r="Y121" s="25"/>
      <c r="Z121" s="25"/>
      <c r="AA121" s="25"/>
    </row>
    <row r="122" ht="15.75" customHeight="1">
      <c r="A122" s="47"/>
      <c r="H122" s="21"/>
      <c r="I122" s="25"/>
      <c r="J122" s="25"/>
      <c r="K122" s="25"/>
      <c r="L122" s="25"/>
      <c r="M122" s="25"/>
      <c r="N122" s="25"/>
      <c r="O122" s="25"/>
      <c r="P122" s="25"/>
      <c r="Q122" s="25"/>
      <c r="R122" s="25"/>
      <c r="S122" s="25"/>
      <c r="T122" s="25"/>
      <c r="U122" s="25"/>
      <c r="V122" s="25"/>
      <c r="W122" s="25"/>
      <c r="X122" s="25"/>
      <c r="Y122" s="25"/>
      <c r="Z122" s="25"/>
      <c r="AA122" s="25"/>
    </row>
    <row r="123" ht="15.75" customHeight="1">
      <c r="A123" s="77"/>
      <c r="H123" s="21"/>
      <c r="I123" s="25"/>
      <c r="J123" s="25"/>
      <c r="K123" s="25"/>
      <c r="L123" s="25"/>
      <c r="M123" s="25"/>
      <c r="N123" s="25"/>
      <c r="O123" s="25"/>
      <c r="P123" s="25"/>
      <c r="Q123" s="25"/>
      <c r="R123" s="25"/>
      <c r="S123" s="25"/>
      <c r="T123" s="25"/>
      <c r="U123" s="25"/>
      <c r="V123" s="25"/>
      <c r="W123" s="25"/>
      <c r="X123" s="25"/>
      <c r="Y123" s="25"/>
      <c r="Z123" s="25"/>
      <c r="AA123" s="25"/>
    </row>
    <row r="124" ht="24.75" customHeight="1">
      <c r="A124" s="77"/>
      <c r="B124" s="27"/>
      <c r="C124" s="27"/>
      <c r="D124" s="27"/>
      <c r="E124" s="27"/>
      <c r="F124" s="27"/>
      <c r="G124" s="28"/>
      <c r="H124" s="21"/>
      <c r="I124" s="25"/>
      <c r="J124" s="25"/>
      <c r="K124" s="25"/>
      <c r="L124" s="25"/>
      <c r="M124" s="25"/>
      <c r="N124" s="25"/>
      <c r="O124" s="25"/>
      <c r="P124" s="25"/>
      <c r="Q124" s="25"/>
      <c r="R124" s="25"/>
      <c r="S124" s="25"/>
      <c r="T124" s="25"/>
      <c r="U124" s="25"/>
      <c r="V124" s="25"/>
      <c r="W124" s="25"/>
      <c r="X124" s="25"/>
      <c r="Y124" s="25"/>
      <c r="Z124" s="25"/>
      <c r="AA124" s="25"/>
    </row>
    <row r="125" ht="15.75" customHeight="1">
      <c r="A125" s="26"/>
      <c r="H125" s="29"/>
      <c r="I125" s="25"/>
      <c r="J125" s="25"/>
      <c r="K125" s="25"/>
      <c r="L125" s="25"/>
      <c r="M125" s="25"/>
      <c r="N125" s="25"/>
      <c r="O125" s="25"/>
      <c r="P125" s="25"/>
      <c r="Q125" s="25"/>
      <c r="R125" s="25"/>
      <c r="S125" s="25"/>
      <c r="T125" s="25"/>
      <c r="U125" s="25"/>
      <c r="V125" s="25"/>
      <c r="W125" s="25"/>
      <c r="X125" s="25"/>
      <c r="Y125" s="25"/>
      <c r="Z125" s="25"/>
      <c r="AA125" s="25"/>
    </row>
    <row r="126" ht="28.5" customHeight="1">
      <c r="A126" s="57"/>
      <c r="H126" s="25"/>
      <c r="I126" s="25"/>
      <c r="J126" s="25"/>
      <c r="K126" s="25"/>
      <c r="L126" s="25"/>
      <c r="M126" s="25"/>
      <c r="N126" s="25"/>
      <c r="O126" s="25"/>
      <c r="P126" s="25"/>
      <c r="Q126" s="25"/>
      <c r="R126" s="25"/>
      <c r="S126" s="25"/>
      <c r="T126" s="25"/>
      <c r="U126" s="25"/>
      <c r="V126" s="25"/>
      <c r="W126" s="25"/>
      <c r="X126" s="25"/>
      <c r="Y126" s="25"/>
      <c r="Z126" s="25"/>
      <c r="AA126" s="25"/>
    </row>
    <row r="127" ht="27.75" customHeight="1">
      <c r="A127" s="58"/>
      <c r="H127" s="25"/>
      <c r="I127" s="25"/>
      <c r="J127" s="25"/>
      <c r="K127" s="25"/>
      <c r="L127" s="25"/>
      <c r="M127" s="25"/>
      <c r="N127" s="25"/>
      <c r="O127" s="25"/>
      <c r="P127" s="25"/>
      <c r="Q127" s="25"/>
      <c r="R127" s="25"/>
      <c r="S127" s="25"/>
      <c r="T127" s="25"/>
      <c r="U127" s="25"/>
      <c r="V127" s="25"/>
      <c r="W127" s="25"/>
      <c r="X127" s="25"/>
      <c r="Y127" s="25"/>
      <c r="Z127" s="25"/>
      <c r="AA127" s="25"/>
    </row>
    <row r="128" ht="27.75" customHeight="1">
      <c r="A128" s="58"/>
      <c r="H128" s="25"/>
      <c r="I128" s="25"/>
      <c r="J128" s="25"/>
      <c r="K128" s="25"/>
      <c r="L128" s="25"/>
      <c r="M128" s="25"/>
      <c r="N128" s="25"/>
      <c r="O128" s="25"/>
      <c r="P128" s="25"/>
      <c r="Q128" s="25"/>
      <c r="R128" s="25"/>
      <c r="S128" s="25"/>
      <c r="T128" s="25"/>
      <c r="U128" s="25"/>
      <c r="V128" s="25"/>
      <c r="W128" s="25"/>
      <c r="X128" s="25"/>
      <c r="Y128" s="25"/>
      <c r="Z128" s="25"/>
      <c r="AA128" s="25"/>
    </row>
    <row r="129" ht="15.75" customHeight="1">
      <c r="A129" s="58"/>
      <c r="H129" s="25"/>
      <c r="I129" s="25"/>
      <c r="J129" s="25"/>
      <c r="K129" s="25"/>
      <c r="L129" s="25"/>
      <c r="M129" s="25"/>
      <c r="N129" s="25"/>
      <c r="O129" s="25"/>
      <c r="P129" s="25"/>
      <c r="Q129" s="25"/>
      <c r="R129" s="25"/>
      <c r="S129" s="25"/>
      <c r="T129" s="25"/>
      <c r="U129" s="25"/>
      <c r="V129" s="25"/>
      <c r="W129" s="25"/>
      <c r="X129" s="25"/>
      <c r="Y129" s="25"/>
      <c r="Z129" s="25"/>
      <c r="AA129" s="25"/>
    </row>
    <row r="130" ht="39.75" customHeight="1">
      <c r="A130" s="58"/>
      <c r="H130" s="25"/>
      <c r="I130" s="25"/>
      <c r="J130" s="25"/>
      <c r="K130" s="25"/>
      <c r="L130" s="25"/>
      <c r="M130" s="25"/>
      <c r="N130" s="25"/>
      <c r="O130" s="25"/>
      <c r="P130" s="25"/>
      <c r="Q130" s="25"/>
      <c r="R130" s="25"/>
      <c r="S130" s="25"/>
      <c r="T130" s="25"/>
      <c r="U130" s="25"/>
      <c r="V130" s="25"/>
      <c r="W130" s="25"/>
      <c r="X130" s="25"/>
      <c r="Y130" s="25"/>
      <c r="Z130" s="25"/>
      <c r="AA130" s="25"/>
    </row>
    <row r="131" ht="27.75" customHeight="1">
      <c r="A131" s="58"/>
      <c r="H131" s="25"/>
      <c r="I131" s="25"/>
      <c r="J131" s="25"/>
      <c r="K131" s="25"/>
      <c r="L131" s="25"/>
      <c r="M131" s="25"/>
      <c r="N131" s="25"/>
      <c r="O131" s="25"/>
      <c r="P131" s="25"/>
      <c r="Q131" s="25"/>
      <c r="R131" s="25"/>
      <c r="S131" s="25"/>
      <c r="T131" s="25"/>
      <c r="U131" s="25"/>
      <c r="V131" s="25"/>
      <c r="W131" s="25"/>
      <c r="X131" s="25"/>
      <c r="Y131" s="25"/>
      <c r="Z131" s="25"/>
      <c r="AA131" s="25"/>
    </row>
    <row r="132" ht="27.0" customHeight="1">
      <c r="A132" s="58"/>
      <c r="H132" s="25"/>
      <c r="I132" s="25"/>
      <c r="J132" s="25"/>
      <c r="K132" s="25"/>
      <c r="L132" s="25"/>
      <c r="M132" s="25"/>
      <c r="N132" s="25"/>
      <c r="O132" s="25"/>
      <c r="P132" s="25"/>
      <c r="Q132" s="25"/>
      <c r="R132" s="25"/>
      <c r="S132" s="25"/>
      <c r="T132" s="25"/>
      <c r="U132" s="25"/>
      <c r="V132" s="25"/>
      <c r="W132" s="25"/>
      <c r="X132" s="25"/>
      <c r="Y132" s="25"/>
      <c r="Z132" s="25"/>
      <c r="AA132" s="25"/>
    </row>
    <row r="133" ht="30.0" customHeight="1">
      <c r="A133" s="58"/>
      <c r="H133" s="25"/>
      <c r="I133" s="25"/>
      <c r="J133" s="25"/>
      <c r="K133" s="25"/>
      <c r="L133" s="25"/>
      <c r="M133" s="25"/>
      <c r="N133" s="25"/>
      <c r="O133" s="25"/>
      <c r="P133" s="25"/>
      <c r="Q133" s="25"/>
      <c r="R133" s="25"/>
      <c r="S133" s="25"/>
      <c r="T133" s="25"/>
      <c r="U133" s="25"/>
      <c r="V133" s="25"/>
      <c r="W133" s="25"/>
      <c r="X133" s="25"/>
      <c r="Y133" s="25"/>
      <c r="Z133" s="25"/>
      <c r="AA133" s="25"/>
    </row>
    <row r="134" ht="15.75" customHeight="1">
      <c r="A134" s="58"/>
      <c r="H134" s="25"/>
      <c r="I134" s="25"/>
      <c r="J134" s="25"/>
      <c r="K134" s="25"/>
      <c r="L134" s="25"/>
      <c r="M134" s="25"/>
      <c r="N134" s="25"/>
      <c r="O134" s="25"/>
      <c r="P134" s="25"/>
      <c r="Q134" s="25"/>
      <c r="R134" s="25"/>
      <c r="S134" s="25"/>
      <c r="T134" s="25"/>
      <c r="U134" s="25"/>
      <c r="V134" s="25"/>
      <c r="W134" s="25"/>
      <c r="X134" s="25"/>
      <c r="Y134" s="25"/>
      <c r="Z134" s="25"/>
      <c r="AA134" s="25"/>
    </row>
    <row r="135" ht="15.75" customHeight="1">
      <c r="A135" s="58"/>
      <c r="H135" s="25"/>
      <c r="I135" s="25"/>
      <c r="J135" s="25"/>
      <c r="K135" s="25"/>
      <c r="L135" s="25"/>
      <c r="M135" s="25"/>
      <c r="N135" s="25"/>
      <c r="O135" s="25"/>
      <c r="P135" s="25"/>
      <c r="Q135" s="25"/>
      <c r="R135" s="25"/>
      <c r="S135" s="25"/>
      <c r="T135" s="25"/>
      <c r="U135" s="25"/>
      <c r="V135" s="25"/>
      <c r="W135" s="25"/>
      <c r="X135" s="25"/>
      <c r="Y135" s="25"/>
      <c r="Z135" s="25"/>
      <c r="AA135" s="25"/>
    </row>
    <row r="136" ht="15.75" customHeight="1">
      <c r="A136" s="58"/>
      <c r="H136" s="25"/>
      <c r="I136" s="25"/>
      <c r="J136" s="25"/>
      <c r="K136" s="25"/>
      <c r="L136" s="25"/>
      <c r="M136" s="25"/>
      <c r="N136" s="25"/>
      <c r="O136" s="25"/>
      <c r="P136" s="25"/>
      <c r="Q136" s="25"/>
      <c r="R136" s="25"/>
      <c r="S136" s="25"/>
      <c r="T136" s="25"/>
      <c r="U136" s="25"/>
      <c r="V136" s="25"/>
      <c r="W136" s="25"/>
      <c r="X136" s="25"/>
      <c r="Y136" s="25"/>
      <c r="Z136" s="25"/>
      <c r="AA136" s="25"/>
    </row>
    <row r="137" ht="15.75" customHeight="1">
      <c r="A137" s="58"/>
      <c r="H137" s="25"/>
      <c r="I137" s="25"/>
      <c r="J137" s="25"/>
      <c r="K137" s="25"/>
      <c r="L137" s="25"/>
      <c r="M137" s="25"/>
      <c r="N137" s="25"/>
      <c r="O137" s="25"/>
      <c r="P137" s="25"/>
      <c r="Q137" s="25"/>
      <c r="R137" s="25"/>
      <c r="S137" s="25"/>
      <c r="T137" s="25"/>
      <c r="U137" s="25"/>
      <c r="V137" s="25"/>
      <c r="W137" s="25"/>
      <c r="X137" s="25"/>
      <c r="Y137" s="25"/>
      <c r="Z137" s="25"/>
      <c r="AA137" s="25"/>
    </row>
    <row r="138" ht="15.75" customHeight="1">
      <c r="A138" s="58"/>
      <c r="H138" s="25"/>
      <c r="I138" s="25"/>
      <c r="J138" s="25"/>
      <c r="K138" s="25"/>
      <c r="L138" s="25"/>
      <c r="M138" s="25"/>
      <c r="N138" s="25"/>
      <c r="O138" s="25"/>
      <c r="P138" s="25"/>
      <c r="Q138" s="25"/>
      <c r="R138" s="25"/>
      <c r="S138" s="25"/>
      <c r="T138" s="25"/>
      <c r="U138" s="25"/>
      <c r="V138" s="25"/>
      <c r="W138" s="25"/>
      <c r="X138" s="25"/>
      <c r="Y138" s="25"/>
      <c r="Z138" s="25"/>
      <c r="AA138" s="25"/>
    </row>
    <row r="139" ht="15.75" customHeight="1">
      <c r="A139" s="58"/>
      <c r="H139" s="25"/>
      <c r="I139" s="25"/>
      <c r="J139" s="25"/>
      <c r="K139" s="25"/>
      <c r="L139" s="25"/>
      <c r="M139" s="25"/>
      <c r="N139" s="25"/>
      <c r="O139" s="25"/>
      <c r="P139" s="25"/>
      <c r="Q139" s="25"/>
      <c r="R139" s="25"/>
      <c r="S139" s="25"/>
      <c r="T139" s="25"/>
      <c r="U139" s="25"/>
      <c r="V139" s="25"/>
      <c r="W139" s="25"/>
      <c r="X139" s="25"/>
      <c r="Y139" s="25"/>
      <c r="Z139" s="25"/>
      <c r="AA139" s="25"/>
    </row>
    <row r="140" ht="15.75" customHeight="1">
      <c r="A140" s="58"/>
      <c r="H140" s="25"/>
      <c r="I140" s="25"/>
      <c r="J140" s="25"/>
      <c r="K140" s="25"/>
      <c r="L140" s="25"/>
      <c r="M140" s="25"/>
      <c r="N140" s="25"/>
      <c r="O140" s="25"/>
      <c r="P140" s="25"/>
      <c r="Q140" s="25"/>
      <c r="R140" s="25"/>
      <c r="S140" s="25"/>
      <c r="T140" s="25"/>
      <c r="U140" s="25"/>
      <c r="V140" s="25"/>
      <c r="W140" s="25"/>
      <c r="X140" s="25"/>
      <c r="Y140" s="25"/>
      <c r="Z140" s="25"/>
      <c r="AA140" s="25"/>
    </row>
    <row r="141" ht="15.75" customHeight="1">
      <c r="A141" s="58"/>
      <c r="H141" s="25"/>
      <c r="I141" s="25"/>
      <c r="J141" s="25"/>
      <c r="K141" s="25"/>
      <c r="L141" s="25"/>
      <c r="M141" s="25"/>
      <c r="N141" s="25"/>
      <c r="O141" s="25"/>
      <c r="P141" s="25"/>
      <c r="Q141" s="25"/>
      <c r="R141" s="25"/>
      <c r="S141" s="25"/>
      <c r="T141" s="25"/>
      <c r="U141" s="25"/>
      <c r="V141" s="25"/>
      <c r="W141" s="25"/>
      <c r="X141" s="25"/>
      <c r="Y141" s="25"/>
      <c r="Z141" s="25"/>
      <c r="AA141" s="25"/>
    </row>
    <row r="142" ht="15.75" customHeight="1">
      <c r="A142" s="58"/>
      <c r="H142" s="25"/>
      <c r="I142" s="25"/>
      <c r="J142" s="25"/>
      <c r="K142" s="25"/>
      <c r="L142" s="25"/>
      <c r="M142" s="25"/>
      <c r="N142" s="25"/>
      <c r="O142" s="25"/>
      <c r="P142" s="25"/>
      <c r="Q142" s="25"/>
      <c r="R142" s="25"/>
      <c r="S142" s="25"/>
      <c r="T142" s="25"/>
      <c r="U142" s="25"/>
      <c r="V142" s="25"/>
      <c r="W142" s="25"/>
      <c r="X142" s="25"/>
      <c r="Y142" s="25"/>
      <c r="Z142" s="25"/>
      <c r="AA142" s="25"/>
    </row>
    <row r="143" ht="15.75" customHeight="1">
      <c r="A143" s="58"/>
      <c r="H143" s="25"/>
      <c r="I143" s="25"/>
      <c r="J143" s="25"/>
      <c r="K143" s="25"/>
      <c r="L143" s="25"/>
      <c r="M143" s="25"/>
      <c r="N143" s="25"/>
      <c r="O143" s="25"/>
      <c r="P143" s="25"/>
      <c r="Q143" s="25"/>
      <c r="R143" s="25"/>
      <c r="S143" s="25"/>
      <c r="T143" s="25"/>
      <c r="U143" s="25"/>
      <c r="V143" s="25"/>
      <c r="W143" s="25"/>
      <c r="X143" s="25"/>
      <c r="Y143" s="25"/>
      <c r="Z143" s="25"/>
      <c r="AA143" s="25"/>
    </row>
    <row r="144" ht="31.5" customHeight="1">
      <c r="A144" s="58"/>
      <c r="H144" s="25"/>
      <c r="I144" s="25"/>
      <c r="J144" s="25"/>
      <c r="K144" s="25"/>
      <c r="L144" s="25"/>
      <c r="M144" s="25"/>
      <c r="N144" s="25"/>
      <c r="O144" s="25"/>
      <c r="P144" s="25"/>
      <c r="Q144" s="25"/>
      <c r="R144" s="25"/>
      <c r="S144" s="25"/>
      <c r="T144" s="25"/>
      <c r="U144" s="25"/>
      <c r="V144" s="25"/>
      <c r="W144" s="25"/>
      <c r="X144" s="25"/>
      <c r="Y144" s="25"/>
      <c r="Z144" s="25"/>
      <c r="AA144" s="25"/>
    </row>
    <row r="145" ht="30.0" customHeight="1">
      <c r="A145" s="58"/>
      <c r="H145" s="25"/>
      <c r="I145" s="25"/>
      <c r="J145" s="25"/>
      <c r="K145" s="25"/>
      <c r="L145" s="25"/>
      <c r="M145" s="25"/>
      <c r="N145" s="25"/>
      <c r="O145" s="25"/>
      <c r="P145" s="25"/>
      <c r="Q145" s="25"/>
      <c r="R145" s="25"/>
      <c r="S145" s="25"/>
      <c r="T145" s="25"/>
      <c r="U145" s="25"/>
      <c r="V145" s="25"/>
      <c r="W145" s="25"/>
      <c r="X145" s="25"/>
      <c r="Y145" s="25"/>
      <c r="Z145" s="25"/>
      <c r="AA145" s="25"/>
    </row>
    <row r="146" ht="28.5" customHeight="1">
      <c r="A146" s="58"/>
      <c r="H146" s="25"/>
      <c r="I146" s="25"/>
      <c r="J146" s="25"/>
      <c r="K146" s="25"/>
      <c r="L146" s="25"/>
      <c r="M146" s="25"/>
      <c r="N146" s="25"/>
      <c r="O146" s="25"/>
      <c r="P146" s="25"/>
      <c r="Q146" s="25"/>
      <c r="R146" s="25"/>
      <c r="S146" s="25"/>
      <c r="T146" s="25"/>
      <c r="U146" s="25"/>
      <c r="V146" s="25"/>
      <c r="W146" s="25"/>
      <c r="X146" s="25"/>
      <c r="Y146" s="25"/>
      <c r="Z146" s="25"/>
      <c r="AA146" s="25"/>
    </row>
    <row r="147" ht="15.75" customHeight="1">
      <c r="A147" s="58"/>
      <c r="H147" s="25"/>
      <c r="I147" s="25"/>
      <c r="J147" s="25"/>
      <c r="K147" s="25"/>
      <c r="L147" s="25"/>
      <c r="M147" s="25"/>
      <c r="N147" s="25"/>
      <c r="O147" s="25"/>
      <c r="P147" s="25"/>
      <c r="Q147" s="25"/>
      <c r="R147" s="25"/>
      <c r="S147" s="25"/>
      <c r="T147" s="25"/>
      <c r="U147" s="25"/>
      <c r="V147" s="25"/>
      <c r="W147" s="25"/>
      <c r="X147" s="25"/>
      <c r="Y147" s="25"/>
      <c r="Z147" s="25"/>
      <c r="AA147" s="25"/>
    </row>
    <row r="148" ht="15.75" customHeight="1">
      <c r="A148" s="58"/>
      <c r="H148" s="25"/>
      <c r="I148" s="25"/>
      <c r="J148" s="25"/>
      <c r="K148" s="25"/>
      <c r="L148" s="25"/>
      <c r="M148" s="25"/>
      <c r="N148" s="25"/>
      <c r="O148" s="25"/>
      <c r="P148" s="25"/>
      <c r="Q148" s="25"/>
      <c r="R148" s="25"/>
      <c r="S148" s="25"/>
      <c r="T148" s="25"/>
      <c r="U148" s="25"/>
      <c r="V148" s="25"/>
      <c r="W148" s="25"/>
      <c r="X148" s="25"/>
      <c r="Y148" s="25"/>
      <c r="Z148" s="25"/>
      <c r="AA148" s="25"/>
    </row>
    <row r="149" ht="15.75" customHeight="1">
      <c r="A149" s="58"/>
      <c r="H149" s="25"/>
      <c r="I149" s="25"/>
      <c r="J149" s="25"/>
      <c r="K149" s="25"/>
      <c r="L149" s="25"/>
      <c r="M149" s="25"/>
      <c r="N149" s="25"/>
      <c r="O149" s="25"/>
      <c r="P149" s="25"/>
      <c r="Q149" s="25"/>
      <c r="R149" s="25"/>
      <c r="S149" s="25"/>
      <c r="T149" s="25"/>
      <c r="U149" s="25"/>
      <c r="V149" s="25"/>
      <c r="W149" s="25"/>
      <c r="X149" s="25"/>
      <c r="Y149" s="25"/>
      <c r="Z149" s="25"/>
      <c r="AA149" s="25"/>
    </row>
    <row r="150" ht="15.75" customHeight="1">
      <c r="A150" s="26"/>
      <c r="H150" s="29"/>
      <c r="I150" s="25"/>
      <c r="J150" s="25"/>
      <c r="K150" s="25"/>
      <c r="L150" s="25"/>
      <c r="M150" s="25"/>
      <c r="N150" s="25"/>
      <c r="O150" s="25"/>
      <c r="P150" s="25"/>
      <c r="Q150" s="25"/>
      <c r="R150" s="25"/>
      <c r="S150" s="25"/>
      <c r="T150" s="25"/>
      <c r="U150" s="25"/>
      <c r="V150" s="25"/>
      <c r="W150" s="25"/>
      <c r="X150" s="25"/>
      <c r="Y150" s="25"/>
      <c r="Z150" s="25"/>
      <c r="AA150" s="25"/>
    </row>
    <row r="151" ht="15.75" customHeight="1">
      <c r="A151" s="47"/>
      <c r="H151" s="21"/>
      <c r="I151" s="25"/>
      <c r="J151" s="25"/>
      <c r="K151" s="25"/>
      <c r="L151" s="25"/>
      <c r="M151" s="25"/>
      <c r="N151" s="25"/>
      <c r="O151" s="25"/>
      <c r="P151" s="25"/>
      <c r="Q151" s="25"/>
      <c r="R151" s="25"/>
      <c r="S151" s="25"/>
      <c r="T151" s="25"/>
      <c r="U151" s="25"/>
      <c r="V151" s="25"/>
      <c r="W151" s="25"/>
      <c r="X151" s="25"/>
      <c r="Y151" s="25"/>
      <c r="Z151" s="25"/>
      <c r="AA151" s="25"/>
    </row>
    <row r="152" ht="15.75" customHeight="1">
      <c r="A152" s="47"/>
      <c r="H152" s="21"/>
      <c r="I152" s="25"/>
      <c r="J152" s="25"/>
      <c r="K152" s="25"/>
      <c r="L152" s="25"/>
      <c r="M152" s="25"/>
      <c r="N152" s="25"/>
      <c r="O152" s="25"/>
      <c r="P152" s="25"/>
      <c r="Q152" s="25"/>
      <c r="R152" s="25"/>
      <c r="S152" s="25"/>
      <c r="T152" s="25"/>
      <c r="U152" s="25"/>
      <c r="V152" s="25"/>
      <c r="W152" s="25"/>
      <c r="X152" s="25"/>
      <c r="Y152" s="25"/>
      <c r="Z152" s="25"/>
      <c r="AA152" s="25"/>
    </row>
    <row r="153" ht="15.75" customHeight="1">
      <c r="A153" s="47"/>
      <c r="H153" s="21"/>
      <c r="I153" s="25"/>
      <c r="J153" s="25"/>
      <c r="K153" s="25"/>
      <c r="L153" s="25"/>
      <c r="M153" s="25"/>
      <c r="N153" s="25"/>
      <c r="O153" s="25"/>
      <c r="P153" s="25"/>
      <c r="Q153" s="25"/>
      <c r="R153" s="25"/>
      <c r="S153" s="25"/>
      <c r="T153" s="25"/>
      <c r="U153" s="25"/>
      <c r="V153" s="25"/>
      <c r="W153" s="25"/>
      <c r="X153" s="25"/>
      <c r="Y153" s="25"/>
      <c r="Z153" s="25"/>
      <c r="AA153" s="25"/>
    </row>
    <row r="154" ht="15.75" customHeight="1">
      <c r="A154" s="77"/>
      <c r="H154" s="21"/>
      <c r="I154" s="25"/>
      <c r="J154" s="25"/>
      <c r="K154" s="25"/>
      <c r="L154" s="25"/>
      <c r="M154" s="25"/>
      <c r="N154" s="25"/>
      <c r="O154" s="25"/>
      <c r="P154" s="25"/>
      <c r="Q154" s="25"/>
      <c r="R154" s="25"/>
      <c r="S154" s="25"/>
      <c r="T154" s="25"/>
      <c r="U154" s="25"/>
      <c r="V154" s="25"/>
      <c r="W154" s="25"/>
      <c r="X154" s="25"/>
      <c r="Y154" s="25"/>
      <c r="Z154" s="25"/>
      <c r="AA154" s="25"/>
    </row>
    <row r="155" ht="24.75" customHeight="1">
      <c r="A155" s="77"/>
      <c r="B155" s="27"/>
      <c r="C155" s="27"/>
      <c r="D155" s="27"/>
      <c r="E155" s="27"/>
      <c r="F155" s="27"/>
      <c r="G155" s="28"/>
      <c r="H155" s="21"/>
      <c r="I155" s="25"/>
      <c r="J155" s="25"/>
      <c r="K155" s="25"/>
      <c r="L155" s="25"/>
      <c r="M155" s="25"/>
      <c r="N155" s="25"/>
      <c r="O155" s="25"/>
      <c r="P155" s="25"/>
      <c r="Q155" s="25"/>
      <c r="R155" s="25"/>
      <c r="S155" s="25"/>
      <c r="T155" s="25"/>
      <c r="U155" s="25"/>
      <c r="V155" s="25"/>
      <c r="W155" s="25"/>
      <c r="X155" s="25"/>
      <c r="Y155" s="25"/>
      <c r="Z155" s="25"/>
      <c r="AA155" s="25"/>
    </row>
    <row r="156" ht="15.75" customHeight="1">
      <c r="A156" s="26"/>
      <c r="H156" s="29"/>
      <c r="I156" s="25"/>
      <c r="J156" s="25"/>
      <c r="K156" s="25"/>
      <c r="L156" s="25"/>
      <c r="M156" s="25"/>
      <c r="N156" s="25"/>
      <c r="O156" s="25"/>
      <c r="P156" s="25"/>
      <c r="Q156" s="25"/>
      <c r="R156" s="25"/>
      <c r="S156" s="25"/>
      <c r="T156" s="25"/>
      <c r="U156" s="25"/>
      <c r="V156" s="25"/>
      <c r="W156" s="25"/>
      <c r="X156" s="25"/>
      <c r="Y156" s="25"/>
      <c r="Z156" s="25"/>
      <c r="AA156" s="25"/>
    </row>
    <row r="157" ht="27.0" customHeight="1">
      <c r="A157" s="57"/>
      <c r="H157" s="25"/>
      <c r="I157" s="25"/>
      <c r="J157" s="25"/>
      <c r="K157" s="25"/>
      <c r="L157" s="25"/>
      <c r="M157" s="25"/>
      <c r="N157" s="25"/>
      <c r="O157" s="25"/>
      <c r="P157" s="25"/>
      <c r="Q157" s="25"/>
      <c r="R157" s="25"/>
      <c r="S157" s="25"/>
      <c r="T157" s="25"/>
      <c r="U157" s="25"/>
      <c r="V157" s="25"/>
      <c r="W157" s="25"/>
      <c r="X157" s="25"/>
      <c r="Y157" s="25"/>
      <c r="Z157" s="25"/>
      <c r="AA157" s="25"/>
    </row>
    <row r="158" ht="46.5" customHeight="1">
      <c r="A158" s="58"/>
      <c r="H158" s="25"/>
      <c r="I158" s="25"/>
      <c r="J158" s="25"/>
      <c r="K158" s="25"/>
      <c r="L158" s="25"/>
      <c r="M158" s="25"/>
      <c r="N158" s="25"/>
      <c r="O158" s="25"/>
      <c r="P158" s="25"/>
      <c r="Q158" s="25"/>
      <c r="R158" s="25"/>
      <c r="S158" s="25"/>
      <c r="T158" s="25"/>
      <c r="U158" s="25"/>
      <c r="V158" s="25"/>
      <c r="W158" s="25"/>
      <c r="X158" s="25"/>
      <c r="Y158" s="25"/>
      <c r="Z158" s="25"/>
      <c r="AA158" s="25"/>
    </row>
    <row r="159" ht="34.5" customHeight="1">
      <c r="A159" s="58"/>
      <c r="H159" s="25"/>
      <c r="I159" s="25"/>
      <c r="J159" s="25"/>
      <c r="K159" s="25"/>
      <c r="L159" s="25"/>
      <c r="M159" s="25"/>
      <c r="N159" s="25"/>
      <c r="O159" s="25"/>
      <c r="P159" s="25"/>
      <c r="Q159" s="25"/>
      <c r="R159" s="25"/>
      <c r="S159" s="25"/>
      <c r="T159" s="25"/>
      <c r="U159" s="25"/>
      <c r="V159" s="25"/>
      <c r="W159" s="25"/>
      <c r="X159" s="25"/>
      <c r="Y159" s="25"/>
      <c r="Z159" s="25"/>
      <c r="AA159" s="25"/>
    </row>
    <row r="160" ht="30.0" customHeight="1">
      <c r="A160" s="58"/>
      <c r="H160" s="25"/>
      <c r="I160" s="25"/>
      <c r="J160" s="25"/>
      <c r="K160" s="25"/>
      <c r="L160" s="25"/>
      <c r="M160" s="25"/>
      <c r="N160" s="25"/>
      <c r="O160" s="25"/>
      <c r="P160" s="25"/>
      <c r="Q160" s="25"/>
      <c r="R160" s="25"/>
      <c r="S160" s="25"/>
      <c r="T160" s="25"/>
      <c r="U160" s="25"/>
      <c r="V160" s="25"/>
      <c r="W160" s="25"/>
      <c r="X160" s="25"/>
      <c r="Y160" s="25"/>
      <c r="Z160" s="25"/>
      <c r="AA160" s="25"/>
    </row>
    <row r="161" ht="41.25" customHeight="1">
      <c r="A161" s="58"/>
      <c r="H161" s="25"/>
      <c r="I161" s="25"/>
      <c r="J161" s="25"/>
      <c r="K161" s="25"/>
      <c r="L161" s="25"/>
      <c r="M161" s="25"/>
      <c r="N161" s="25"/>
      <c r="O161" s="25"/>
      <c r="P161" s="25"/>
      <c r="Q161" s="25"/>
      <c r="R161" s="25"/>
      <c r="S161" s="25"/>
      <c r="T161" s="25"/>
      <c r="U161" s="25"/>
      <c r="V161" s="25"/>
      <c r="W161" s="25"/>
      <c r="X161" s="25"/>
      <c r="Y161" s="25"/>
      <c r="Z161" s="25"/>
      <c r="AA161" s="25"/>
    </row>
    <row r="162" ht="28.5" customHeight="1">
      <c r="A162" s="58"/>
      <c r="H162" s="25"/>
      <c r="I162" s="25"/>
      <c r="J162" s="25"/>
      <c r="K162" s="25"/>
      <c r="L162" s="25"/>
      <c r="M162" s="25"/>
      <c r="N162" s="25"/>
      <c r="O162" s="25"/>
      <c r="P162" s="25"/>
      <c r="Q162" s="25"/>
      <c r="R162" s="25"/>
      <c r="S162" s="25"/>
      <c r="T162" s="25"/>
      <c r="U162" s="25"/>
      <c r="V162" s="25"/>
      <c r="W162" s="25"/>
      <c r="X162" s="25"/>
      <c r="Y162" s="25"/>
      <c r="Z162" s="25"/>
      <c r="AA162" s="25"/>
    </row>
    <row r="163" ht="36.0" customHeight="1">
      <c r="A163" s="58"/>
      <c r="H163" s="25"/>
      <c r="I163" s="25"/>
      <c r="J163" s="25"/>
      <c r="K163" s="25"/>
      <c r="L163" s="25"/>
      <c r="M163" s="25"/>
      <c r="N163" s="25"/>
      <c r="O163" s="25"/>
      <c r="P163" s="25"/>
      <c r="Q163" s="25"/>
      <c r="R163" s="25"/>
      <c r="S163" s="25"/>
      <c r="T163" s="25"/>
      <c r="U163" s="25"/>
      <c r="V163" s="25"/>
      <c r="W163" s="25"/>
      <c r="X163" s="25"/>
      <c r="Y163" s="25"/>
      <c r="Z163" s="25"/>
      <c r="AA163" s="25"/>
    </row>
    <row r="164" ht="39.75" customHeight="1">
      <c r="A164" s="58"/>
      <c r="H164" s="25"/>
      <c r="I164" s="25"/>
      <c r="J164" s="25"/>
      <c r="K164" s="25"/>
      <c r="L164" s="25"/>
      <c r="M164" s="25"/>
      <c r="N164" s="25"/>
      <c r="O164" s="25"/>
      <c r="P164" s="25"/>
      <c r="Q164" s="25"/>
      <c r="R164" s="25"/>
      <c r="S164" s="25"/>
      <c r="T164" s="25"/>
      <c r="U164" s="25"/>
      <c r="V164" s="25"/>
      <c r="W164" s="25"/>
      <c r="X164" s="25"/>
      <c r="Y164" s="25"/>
      <c r="Z164" s="25"/>
      <c r="AA164" s="25"/>
    </row>
    <row r="165" ht="24.75" customHeight="1">
      <c r="A165" s="83"/>
      <c r="H165" s="25"/>
      <c r="I165" s="25"/>
      <c r="J165" s="25"/>
      <c r="K165" s="25"/>
      <c r="L165" s="25"/>
      <c r="M165" s="25"/>
      <c r="N165" s="25"/>
      <c r="O165" s="25"/>
      <c r="P165" s="25"/>
      <c r="Q165" s="25"/>
      <c r="R165" s="25"/>
      <c r="S165" s="25"/>
      <c r="T165" s="25"/>
      <c r="U165" s="25"/>
      <c r="V165" s="25"/>
      <c r="W165" s="25"/>
      <c r="X165" s="25"/>
      <c r="Y165" s="25"/>
      <c r="Z165" s="25"/>
      <c r="AA165" s="25"/>
    </row>
    <row r="166" ht="36.0" customHeight="1">
      <c r="A166" s="83"/>
      <c r="H166" s="25"/>
      <c r="I166" s="25"/>
      <c r="J166" s="25"/>
      <c r="K166" s="25"/>
      <c r="L166" s="25"/>
      <c r="M166" s="25"/>
      <c r="N166" s="25"/>
      <c r="O166" s="25"/>
      <c r="P166" s="25"/>
      <c r="Q166" s="25"/>
      <c r="R166" s="25"/>
      <c r="S166" s="25"/>
      <c r="T166" s="25"/>
      <c r="U166" s="25"/>
      <c r="V166" s="25"/>
      <c r="W166" s="25"/>
      <c r="X166" s="25"/>
      <c r="Y166" s="25"/>
      <c r="Z166" s="25"/>
      <c r="AA166" s="25"/>
    </row>
    <row r="167" ht="13.5" customHeight="1">
      <c r="A167" s="83"/>
      <c r="H167" s="25"/>
      <c r="I167" s="25"/>
      <c r="J167" s="25"/>
      <c r="K167" s="25"/>
      <c r="L167" s="25"/>
      <c r="M167" s="25"/>
      <c r="N167" s="25"/>
      <c r="O167" s="25"/>
      <c r="P167" s="25"/>
      <c r="Q167" s="25"/>
      <c r="R167" s="25"/>
      <c r="S167" s="25"/>
      <c r="T167" s="25"/>
      <c r="U167" s="25"/>
      <c r="V167" s="25"/>
      <c r="W167" s="25"/>
      <c r="X167" s="25"/>
      <c r="Y167" s="25"/>
      <c r="Z167" s="25"/>
      <c r="AA167" s="25"/>
    </row>
    <row r="168" ht="15.75" customHeight="1">
      <c r="A168" s="83"/>
      <c r="H168" s="25"/>
      <c r="I168" s="25"/>
      <c r="J168" s="25"/>
      <c r="K168" s="25"/>
      <c r="L168" s="25"/>
      <c r="M168" s="25"/>
      <c r="N168" s="25"/>
      <c r="O168" s="25"/>
      <c r="P168" s="25"/>
      <c r="Q168" s="25"/>
      <c r="R168" s="25"/>
      <c r="S168" s="25"/>
      <c r="T168" s="25"/>
      <c r="U168" s="25"/>
      <c r="V168" s="25"/>
      <c r="W168" s="25"/>
      <c r="X168" s="25"/>
      <c r="Y168" s="25"/>
      <c r="Z168" s="25"/>
      <c r="AA168" s="25"/>
    </row>
    <row r="169" ht="15.75" customHeight="1">
      <c r="A169" s="26"/>
      <c r="H169" s="29"/>
      <c r="I169" s="25"/>
      <c r="J169" s="25"/>
      <c r="K169" s="25"/>
      <c r="L169" s="25"/>
      <c r="M169" s="25"/>
      <c r="N169" s="25"/>
      <c r="O169" s="25"/>
      <c r="P169" s="25"/>
      <c r="Q169" s="25"/>
      <c r="R169" s="25"/>
      <c r="S169" s="25"/>
      <c r="T169" s="25"/>
      <c r="U169" s="25"/>
      <c r="V169" s="25"/>
      <c r="W169" s="25"/>
      <c r="X169" s="25"/>
      <c r="Y169" s="25"/>
      <c r="Z169" s="25"/>
      <c r="AA169" s="25"/>
    </row>
    <row r="170" ht="15.75" customHeight="1">
      <c r="A170" s="47"/>
      <c r="H170" s="21"/>
      <c r="I170" s="25"/>
      <c r="J170" s="25"/>
      <c r="K170" s="25"/>
      <c r="L170" s="25"/>
      <c r="M170" s="25"/>
      <c r="N170" s="25"/>
      <c r="O170" s="25"/>
      <c r="P170" s="25"/>
      <c r="Q170" s="25"/>
      <c r="R170" s="25"/>
      <c r="S170" s="25"/>
      <c r="T170" s="25"/>
      <c r="U170" s="25"/>
      <c r="V170" s="25"/>
      <c r="W170" s="25"/>
      <c r="X170" s="25"/>
      <c r="Y170" s="25"/>
      <c r="Z170" s="25"/>
      <c r="AA170" s="25"/>
    </row>
    <row r="171" ht="15.75" customHeight="1">
      <c r="A171" s="47"/>
      <c r="H171" s="21"/>
      <c r="I171" s="25"/>
      <c r="J171" s="25"/>
      <c r="K171" s="25"/>
      <c r="L171" s="25"/>
      <c r="M171" s="25"/>
      <c r="N171" s="25"/>
      <c r="O171" s="25"/>
      <c r="P171" s="25"/>
      <c r="Q171" s="25"/>
      <c r="R171" s="25"/>
      <c r="S171" s="25"/>
      <c r="T171" s="25"/>
      <c r="U171" s="25"/>
      <c r="V171" s="25"/>
      <c r="W171" s="25"/>
      <c r="X171" s="25"/>
      <c r="Y171" s="25"/>
      <c r="Z171" s="25"/>
      <c r="AA171" s="25"/>
    </row>
    <row r="172" ht="15.75" customHeight="1">
      <c r="A172" s="47"/>
      <c r="H172" s="21"/>
      <c r="I172" s="25"/>
      <c r="J172" s="25"/>
      <c r="K172" s="25"/>
      <c r="L172" s="25"/>
      <c r="M172" s="25"/>
      <c r="N172" s="25"/>
      <c r="O172" s="25"/>
      <c r="P172" s="25"/>
      <c r="Q172" s="25"/>
      <c r="R172" s="25"/>
      <c r="S172" s="25"/>
      <c r="T172" s="25"/>
      <c r="U172" s="25"/>
      <c r="V172" s="25"/>
      <c r="W172" s="25"/>
      <c r="X172" s="25"/>
      <c r="Y172" s="25"/>
      <c r="Z172" s="25"/>
      <c r="AA172" s="25"/>
    </row>
    <row r="173" ht="15.75" customHeight="1">
      <c r="A173" s="77"/>
      <c r="H173" s="21"/>
      <c r="I173" s="25"/>
      <c r="J173" s="25"/>
      <c r="K173" s="25"/>
      <c r="L173" s="25"/>
      <c r="M173" s="25"/>
      <c r="N173" s="25"/>
      <c r="O173" s="25"/>
      <c r="P173" s="25"/>
      <c r="Q173" s="25"/>
      <c r="R173" s="25"/>
      <c r="S173" s="25"/>
      <c r="T173" s="25"/>
      <c r="U173" s="25"/>
      <c r="V173" s="25"/>
      <c r="W173" s="25"/>
      <c r="X173" s="25"/>
      <c r="Y173" s="25"/>
      <c r="Z173" s="25"/>
      <c r="AA173" s="25"/>
    </row>
    <row r="174" ht="22.5" customHeight="1">
      <c r="A174" s="77"/>
      <c r="B174" s="27"/>
      <c r="C174" s="27"/>
      <c r="D174" s="27"/>
      <c r="E174" s="27"/>
      <c r="F174" s="27"/>
      <c r="G174" s="28"/>
      <c r="H174" s="21"/>
      <c r="I174" s="25"/>
      <c r="J174" s="25"/>
      <c r="K174" s="25"/>
      <c r="L174" s="25"/>
      <c r="M174" s="25"/>
      <c r="N174" s="25"/>
      <c r="O174" s="25"/>
      <c r="P174" s="25"/>
      <c r="Q174" s="25"/>
      <c r="R174" s="25"/>
      <c r="S174" s="25"/>
      <c r="T174" s="25"/>
      <c r="U174" s="25"/>
      <c r="V174" s="25"/>
      <c r="W174" s="25"/>
      <c r="X174" s="25"/>
      <c r="Y174" s="25"/>
      <c r="Z174" s="25"/>
      <c r="AA174" s="25"/>
    </row>
    <row r="175" ht="15.75" customHeight="1">
      <c r="A175" s="26"/>
      <c r="H175" s="29"/>
      <c r="I175" s="25"/>
      <c r="J175" s="25"/>
      <c r="K175" s="25"/>
      <c r="L175" s="25"/>
      <c r="M175" s="25"/>
      <c r="N175" s="25"/>
      <c r="O175" s="25"/>
      <c r="P175" s="25"/>
      <c r="Q175" s="25"/>
      <c r="R175" s="25"/>
      <c r="S175" s="25"/>
      <c r="T175" s="25"/>
      <c r="U175" s="25"/>
      <c r="V175" s="25"/>
      <c r="W175" s="25"/>
      <c r="X175" s="25"/>
      <c r="Y175" s="25"/>
      <c r="Z175" s="25"/>
      <c r="AA175" s="25"/>
    </row>
    <row r="176" ht="28.5" customHeight="1">
      <c r="A176" s="84"/>
      <c r="H176" s="25"/>
      <c r="I176" s="25"/>
      <c r="J176" s="25"/>
      <c r="K176" s="25"/>
      <c r="L176" s="25"/>
      <c r="M176" s="25"/>
      <c r="N176" s="25"/>
      <c r="O176" s="25"/>
      <c r="P176" s="25"/>
      <c r="Q176" s="25"/>
      <c r="R176" s="25"/>
      <c r="S176" s="25"/>
      <c r="T176" s="25"/>
      <c r="U176" s="25"/>
      <c r="V176" s="25"/>
      <c r="W176" s="25"/>
      <c r="X176" s="25"/>
      <c r="Y176" s="25"/>
      <c r="Z176" s="25"/>
      <c r="AA176" s="25"/>
    </row>
    <row r="177" ht="31.5" customHeight="1">
      <c r="A177" s="23"/>
      <c r="H177" s="25"/>
      <c r="I177" s="25"/>
      <c r="J177" s="25"/>
      <c r="K177" s="25"/>
      <c r="L177" s="25"/>
      <c r="M177" s="25"/>
      <c r="N177" s="25"/>
      <c r="O177" s="25"/>
      <c r="P177" s="25"/>
      <c r="Q177" s="25"/>
      <c r="R177" s="25"/>
      <c r="S177" s="25"/>
      <c r="T177" s="25"/>
      <c r="U177" s="25"/>
      <c r="V177" s="25"/>
      <c r="W177" s="25"/>
      <c r="X177" s="25"/>
      <c r="Y177" s="25"/>
      <c r="Z177" s="25"/>
      <c r="AA177" s="25"/>
    </row>
    <row r="178" ht="28.5" customHeight="1">
      <c r="A178" s="23"/>
      <c r="H178" s="25"/>
      <c r="I178" s="25"/>
      <c r="J178" s="25"/>
      <c r="K178" s="25"/>
      <c r="L178" s="25"/>
      <c r="M178" s="25"/>
      <c r="N178" s="25"/>
      <c r="O178" s="25"/>
      <c r="P178" s="25"/>
      <c r="Q178" s="25"/>
      <c r="R178" s="25"/>
      <c r="S178" s="25"/>
      <c r="T178" s="25"/>
      <c r="U178" s="25"/>
      <c r="V178" s="25"/>
      <c r="W178" s="25"/>
      <c r="X178" s="25"/>
      <c r="Y178" s="25"/>
      <c r="Z178" s="25"/>
      <c r="AA178" s="25"/>
    </row>
    <row r="179" ht="15.75" customHeight="1">
      <c r="A179" s="23"/>
      <c r="H179" s="25"/>
      <c r="I179" s="25"/>
      <c r="J179" s="25"/>
      <c r="K179" s="25"/>
      <c r="L179" s="25"/>
      <c r="M179" s="25"/>
      <c r="N179" s="25"/>
      <c r="O179" s="25"/>
      <c r="P179" s="25"/>
      <c r="Q179" s="25"/>
      <c r="R179" s="25"/>
      <c r="S179" s="25"/>
      <c r="T179" s="25"/>
      <c r="U179" s="25"/>
      <c r="V179" s="25"/>
      <c r="W179" s="25"/>
      <c r="X179" s="25"/>
      <c r="Y179" s="25"/>
      <c r="Z179" s="25"/>
      <c r="AA179" s="25"/>
    </row>
    <row r="180" ht="15.75" customHeight="1">
      <c r="A180" s="23"/>
      <c r="H180" s="25"/>
      <c r="I180" s="25"/>
      <c r="J180" s="25"/>
      <c r="K180" s="25"/>
      <c r="L180" s="25"/>
      <c r="M180" s="25"/>
      <c r="N180" s="25"/>
      <c r="O180" s="25"/>
      <c r="P180" s="25"/>
      <c r="Q180" s="25"/>
      <c r="R180" s="25"/>
      <c r="S180" s="25"/>
      <c r="T180" s="25"/>
      <c r="U180" s="25"/>
      <c r="V180" s="25"/>
      <c r="W180" s="25"/>
      <c r="X180" s="25"/>
      <c r="Y180" s="25"/>
      <c r="Z180" s="25"/>
      <c r="AA180" s="25"/>
    </row>
    <row r="181" ht="15.75" customHeight="1">
      <c r="A181" s="23"/>
      <c r="H181" s="25"/>
      <c r="I181" s="25"/>
      <c r="J181" s="25"/>
      <c r="K181" s="25"/>
      <c r="L181" s="25"/>
      <c r="M181" s="25"/>
      <c r="N181" s="25"/>
      <c r="O181" s="25"/>
      <c r="P181" s="25"/>
      <c r="Q181" s="25"/>
      <c r="R181" s="25"/>
      <c r="S181" s="25"/>
      <c r="T181" s="25"/>
      <c r="U181" s="25"/>
      <c r="V181" s="25"/>
      <c r="W181" s="25"/>
      <c r="X181" s="25"/>
      <c r="Y181" s="25"/>
      <c r="Z181" s="25"/>
      <c r="AA181" s="25"/>
    </row>
    <row r="182" ht="15.75" customHeight="1">
      <c r="A182" s="23"/>
      <c r="H182" s="25"/>
      <c r="I182" s="25"/>
      <c r="J182" s="25"/>
      <c r="K182" s="25"/>
      <c r="L182" s="25"/>
      <c r="M182" s="25"/>
      <c r="N182" s="25"/>
      <c r="O182" s="25"/>
      <c r="P182" s="25"/>
      <c r="Q182" s="25"/>
      <c r="R182" s="25"/>
      <c r="S182" s="25"/>
      <c r="T182" s="25"/>
      <c r="U182" s="25"/>
      <c r="V182" s="25"/>
      <c r="W182" s="25"/>
      <c r="X182" s="25"/>
      <c r="Y182" s="25"/>
      <c r="Z182" s="25"/>
      <c r="AA182" s="25"/>
    </row>
    <row r="183" ht="15.75" customHeight="1">
      <c r="A183" s="23"/>
      <c r="H183" s="25"/>
      <c r="I183" s="25"/>
      <c r="J183" s="25"/>
      <c r="K183" s="25"/>
      <c r="L183" s="25"/>
      <c r="M183" s="25"/>
      <c r="N183" s="25"/>
      <c r="O183" s="25"/>
      <c r="P183" s="25"/>
      <c r="Q183" s="25"/>
      <c r="R183" s="25"/>
      <c r="S183" s="25"/>
      <c r="T183" s="25"/>
      <c r="U183" s="25"/>
      <c r="V183" s="25"/>
      <c r="W183" s="25"/>
      <c r="X183" s="25"/>
      <c r="Y183" s="25"/>
      <c r="Z183" s="25"/>
      <c r="AA183" s="25"/>
    </row>
    <row r="184" ht="24.0" customHeight="1">
      <c r="A184" s="23"/>
      <c r="H184" s="25"/>
      <c r="I184" s="25"/>
      <c r="J184" s="25"/>
      <c r="K184" s="25"/>
      <c r="L184" s="25"/>
      <c r="M184" s="25"/>
      <c r="N184" s="25"/>
      <c r="O184" s="25"/>
      <c r="P184" s="25"/>
      <c r="Q184" s="25"/>
      <c r="R184" s="25"/>
      <c r="S184" s="25"/>
      <c r="T184" s="25"/>
      <c r="U184" s="25"/>
      <c r="V184" s="25"/>
      <c r="W184" s="25"/>
      <c r="X184" s="25"/>
      <c r="Y184" s="25"/>
      <c r="Z184" s="25"/>
      <c r="AA184" s="25"/>
    </row>
    <row r="185" ht="24.75" customHeight="1">
      <c r="A185" s="23"/>
      <c r="H185" s="25"/>
      <c r="I185" s="25"/>
      <c r="J185" s="25"/>
      <c r="K185" s="25"/>
      <c r="L185" s="25"/>
      <c r="M185" s="25"/>
      <c r="N185" s="25"/>
      <c r="O185" s="25"/>
      <c r="P185" s="25"/>
      <c r="Q185" s="25"/>
      <c r="R185" s="25"/>
      <c r="S185" s="25"/>
      <c r="T185" s="25"/>
      <c r="U185" s="25"/>
      <c r="V185" s="25"/>
      <c r="W185" s="25"/>
      <c r="X185" s="25"/>
      <c r="Y185" s="25"/>
      <c r="Z185" s="25"/>
      <c r="AA185" s="25"/>
    </row>
    <row r="186" ht="45.75" customHeight="1">
      <c r="A186" s="23"/>
      <c r="H186" s="25"/>
      <c r="I186" s="25"/>
      <c r="J186" s="25"/>
      <c r="K186" s="25"/>
      <c r="L186" s="25"/>
      <c r="M186" s="25"/>
      <c r="N186" s="25"/>
      <c r="O186" s="25"/>
      <c r="P186" s="25"/>
      <c r="Q186" s="25"/>
      <c r="R186" s="25"/>
      <c r="S186" s="25"/>
      <c r="T186" s="25"/>
      <c r="U186" s="25"/>
      <c r="V186" s="25"/>
      <c r="W186" s="25"/>
      <c r="X186" s="25"/>
      <c r="Y186" s="25"/>
      <c r="Z186" s="25"/>
      <c r="AA186" s="25"/>
    </row>
    <row r="187" ht="43.5" customHeight="1">
      <c r="A187" s="23"/>
      <c r="H187" s="25"/>
      <c r="I187" s="25"/>
      <c r="J187" s="25"/>
      <c r="K187" s="25"/>
      <c r="L187" s="25"/>
      <c r="M187" s="25"/>
      <c r="N187" s="25"/>
      <c r="O187" s="25"/>
      <c r="P187" s="25"/>
      <c r="Q187" s="25"/>
      <c r="R187" s="25"/>
      <c r="S187" s="25"/>
      <c r="T187" s="25"/>
      <c r="U187" s="25"/>
      <c r="V187" s="25"/>
      <c r="W187" s="25"/>
      <c r="X187" s="25"/>
      <c r="Y187" s="25"/>
      <c r="Z187" s="25"/>
      <c r="AA187" s="25"/>
    </row>
    <row r="188" ht="33.75" customHeight="1">
      <c r="A188" s="23"/>
      <c r="H188" s="25"/>
      <c r="I188" s="25"/>
      <c r="J188" s="25"/>
      <c r="K188" s="25"/>
      <c r="L188" s="25"/>
      <c r="M188" s="25"/>
      <c r="N188" s="25"/>
      <c r="O188" s="25"/>
      <c r="P188" s="25"/>
      <c r="Q188" s="25"/>
      <c r="R188" s="25"/>
      <c r="S188" s="25"/>
      <c r="T188" s="25"/>
      <c r="U188" s="25"/>
      <c r="V188" s="25"/>
      <c r="W188" s="25"/>
      <c r="X188" s="25"/>
      <c r="Y188" s="25"/>
      <c r="Z188" s="25"/>
      <c r="AA188" s="25"/>
    </row>
    <row r="189" ht="30.75" customHeight="1">
      <c r="A189" s="23"/>
      <c r="H189" s="25"/>
      <c r="I189" s="25"/>
      <c r="J189" s="25"/>
      <c r="K189" s="25"/>
      <c r="L189" s="25"/>
      <c r="M189" s="25"/>
      <c r="N189" s="25"/>
      <c r="O189" s="25"/>
      <c r="P189" s="25"/>
      <c r="Q189" s="25"/>
      <c r="R189" s="25"/>
      <c r="S189" s="25"/>
      <c r="T189" s="25"/>
      <c r="U189" s="25"/>
      <c r="V189" s="25"/>
      <c r="W189" s="25"/>
      <c r="X189" s="25"/>
      <c r="Y189" s="25"/>
      <c r="Z189" s="25"/>
      <c r="AA189" s="25"/>
    </row>
    <row r="190" ht="15.75" customHeight="1">
      <c r="A190" s="23"/>
      <c r="H190" s="25"/>
      <c r="I190" s="25"/>
      <c r="J190" s="25"/>
      <c r="K190" s="25"/>
      <c r="L190" s="25"/>
      <c r="M190" s="25"/>
      <c r="N190" s="25"/>
      <c r="O190" s="25"/>
      <c r="P190" s="25"/>
      <c r="Q190" s="25"/>
      <c r="R190" s="25"/>
      <c r="S190" s="25"/>
      <c r="T190" s="25"/>
      <c r="U190" s="25"/>
      <c r="V190" s="25"/>
      <c r="W190" s="25"/>
      <c r="X190" s="25"/>
      <c r="Y190" s="25"/>
      <c r="Z190" s="25"/>
      <c r="AA190" s="25"/>
    </row>
    <row r="191" ht="15.75" customHeight="1">
      <c r="A191" s="23"/>
      <c r="H191" s="25"/>
      <c r="I191" s="25"/>
      <c r="J191" s="25"/>
      <c r="K191" s="25"/>
      <c r="L191" s="25"/>
      <c r="M191" s="25"/>
      <c r="N191" s="25"/>
      <c r="O191" s="25"/>
      <c r="P191" s="25"/>
      <c r="Q191" s="25"/>
      <c r="R191" s="25"/>
      <c r="S191" s="25"/>
      <c r="T191" s="25"/>
      <c r="U191" s="25"/>
      <c r="V191" s="25"/>
      <c r="W191" s="25"/>
      <c r="X191" s="25"/>
      <c r="Y191" s="25"/>
      <c r="Z191" s="25"/>
      <c r="AA191" s="25"/>
    </row>
    <row r="192" ht="15.75" customHeight="1">
      <c r="A192" s="23"/>
      <c r="H192" s="25"/>
      <c r="I192" s="25"/>
      <c r="J192" s="25"/>
      <c r="K192" s="25"/>
      <c r="L192" s="25"/>
      <c r="M192" s="25"/>
      <c r="N192" s="25"/>
      <c r="O192" s="25"/>
      <c r="P192" s="25"/>
      <c r="Q192" s="25"/>
      <c r="R192" s="25"/>
      <c r="S192" s="25"/>
      <c r="T192" s="25"/>
      <c r="U192" s="25"/>
      <c r="V192" s="25"/>
      <c r="W192" s="25"/>
      <c r="X192" s="25"/>
      <c r="Y192" s="25"/>
      <c r="Z192" s="25"/>
      <c r="AA192" s="25"/>
    </row>
    <row r="193" ht="15.75" customHeight="1">
      <c r="A193" s="23"/>
      <c r="H193" s="25"/>
      <c r="I193" s="25"/>
      <c r="J193" s="25"/>
      <c r="K193" s="25"/>
      <c r="L193" s="25"/>
      <c r="M193" s="25"/>
      <c r="N193" s="25"/>
      <c r="O193" s="25"/>
      <c r="P193" s="25"/>
      <c r="Q193" s="25"/>
      <c r="R193" s="25"/>
      <c r="S193" s="25"/>
      <c r="T193" s="25"/>
      <c r="U193" s="25"/>
      <c r="V193" s="25"/>
      <c r="W193" s="25"/>
      <c r="X193" s="25"/>
      <c r="Y193" s="25"/>
      <c r="Z193" s="25"/>
      <c r="AA193" s="25"/>
    </row>
    <row r="194" ht="15.75" customHeight="1">
      <c r="A194" s="23"/>
      <c r="H194" s="25"/>
      <c r="I194" s="25"/>
      <c r="J194" s="25"/>
      <c r="K194" s="25"/>
      <c r="L194" s="25"/>
      <c r="M194" s="25"/>
      <c r="N194" s="25"/>
      <c r="O194" s="25"/>
      <c r="P194" s="25"/>
      <c r="Q194" s="25"/>
      <c r="R194" s="25"/>
      <c r="S194" s="25"/>
      <c r="T194" s="25"/>
      <c r="U194" s="25"/>
      <c r="V194" s="25"/>
      <c r="W194" s="25"/>
      <c r="X194" s="25"/>
      <c r="Y194" s="25"/>
      <c r="Z194" s="25"/>
      <c r="AA194" s="25"/>
    </row>
    <row r="195" ht="15.75" customHeight="1">
      <c r="A195" s="23"/>
      <c r="H195" s="25"/>
      <c r="I195" s="25"/>
      <c r="J195" s="25"/>
      <c r="K195" s="25"/>
      <c r="L195" s="25"/>
      <c r="M195" s="25"/>
      <c r="N195" s="25"/>
      <c r="O195" s="25"/>
      <c r="P195" s="25"/>
      <c r="Q195" s="25"/>
      <c r="R195" s="25"/>
      <c r="S195" s="25"/>
      <c r="T195" s="25"/>
      <c r="U195" s="25"/>
      <c r="V195" s="25"/>
      <c r="W195" s="25"/>
      <c r="X195" s="25"/>
      <c r="Y195" s="25"/>
      <c r="Z195" s="25"/>
      <c r="AA195" s="25"/>
    </row>
    <row r="196" ht="15.75" customHeight="1">
      <c r="A196" s="23"/>
      <c r="H196" s="25"/>
      <c r="I196" s="25"/>
      <c r="J196" s="25"/>
      <c r="K196" s="25"/>
      <c r="L196" s="25"/>
      <c r="M196" s="25"/>
      <c r="N196" s="25"/>
      <c r="O196" s="25"/>
      <c r="P196" s="25"/>
      <c r="Q196" s="25"/>
      <c r="R196" s="25"/>
      <c r="S196" s="25"/>
      <c r="T196" s="25"/>
      <c r="U196" s="25"/>
      <c r="V196" s="25"/>
      <c r="W196" s="25"/>
      <c r="X196" s="25"/>
      <c r="Y196" s="25"/>
      <c r="Z196" s="25"/>
      <c r="AA196" s="25"/>
    </row>
    <row r="197" ht="15.75" customHeight="1">
      <c r="A197" s="23"/>
      <c r="H197" s="25"/>
      <c r="I197" s="25"/>
      <c r="J197" s="25"/>
      <c r="K197" s="25"/>
      <c r="L197" s="25"/>
      <c r="M197" s="25"/>
      <c r="N197" s="25"/>
      <c r="O197" s="25"/>
      <c r="P197" s="25"/>
      <c r="Q197" s="25"/>
      <c r="R197" s="25"/>
      <c r="S197" s="25"/>
      <c r="T197" s="25"/>
      <c r="U197" s="25"/>
      <c r="V197" s="25"/>
      <c r="W197" s="25"/>
      <c r="X197" s="25"/>
      <c r="Y197" s="25"/>
      <c r="Z197" s="25"/>
      <c r="AA197" s="25"/>
    </row>
    <row r="198" ht="45.75" customHeight="1">
      <c r="A198" s="23"/>
      <c r="H198" s="25"/>
      <c r="I198" s="25"/>
      <c r="J198" s="25"/>
      <c r="K198" s="25"/>
      <c r="L198" s="25"/>
      <c r="M198" s="25"/>
      <c r="N198" s="25"/>
      <c r="O198" s="25"/>
      <c r="P198" s="25"/>
      <c r="Q198" s="25"/>
      <c r="R198" s="25"/>
      <c r="S198" s="25"/>
      <c r="T198" s="25"/>
      <c r="U198" s="25"/>
      <c r="V198" s="25"/>
      <c r="W198" s="25"/>
      <c r="X198" s="25"/>
      <c r="Y198" s="25"/>
      <c r="Z198" s="25"/>
      <c r="AA198" s="25"/>
    </row>
    <row r="199" ht="42.75" customHeight="1">
      <c r="A199" s="23"/>
      <c r="H199" s="25"/>
      <c r="I199" s="25"/>
      <c r="J199" s="25"/>
      <c r="K199" s="25"/>
      <c r="L199" s="25"/>
      <c r="M199" s="25"/>
      <c r="N199" s="25"/>
      <c r="O199" s="25"/>
      <c r="P199" s="25"/>
      <c r="Q199" s="25"/>
      <c r="R199" s="25"/>
      <c r="S199" s="25"/>
      <c r="T199" s="25"/>
      <c r="U199" s="25"/>
      <c r="V199" s="25"/>
      <c r="W199" s="25"/>
      <c r="X199" s="25"/>
      <c r="Y199" s="25"/>
      <c r="Z199" s="25"/>
      <c r="AA199" s="25"/>
    </row>
    <row r="200" ht="39.75" customHeight="1">
      <c r="A200" s="23"/>
      <c r="H200" s="25"/>
      <c r="I200" s="25"/>
      <c r="J200" s="25"/>
      <c r="K200" s="25"/>
      <c r="L200" s="25"/>
      <c r="M200" s="25"/>
      <c r="N200" s="25"/>
      <c r="O200" s="25"/>
      <c r="P200" s="25"/>
      <c r="Q200" s="25"/>
      <c r="R200" s="25"/>
      <c r="S200" s="25"/>
      <c r="T200" s="25"/>
      <c r="U200" s="25"/>
      <c r="V200" s="25"/>
      <c r="W200" s="25"/>
      <c r="X200" s="25"/>
      <c r="Y200" s="25"/>
      <c r="Z200" s="25"/>
      <c r="AA200" s="25"/>
    </row>
    <row r="201" ht="15.75" customHeight="1">
      <c r="A201" s="23"/>
      <c r="H201" s="25"/>
      <c r="I201" s="25"/>
      <c r="J201" s="25"/>
      <c r="K201" s="25"/>
      <c r="L201" s="25"/>
      <c r="M201" s="25"/>
      <c r="N201" s="25"/>
      <c r="O201" s="25"/>
      <c r="P201" s="25"/>
      <c r="Q201" s="25"/>
      <c r="R201" s="25"/>
      <c r="S201" s="25"/>
      <c r="T201" s="25"/>
      <c r="U201" s="25"/>
      <c r="V201" s="25"/>
      <c r="W201" s="25"/>
      <c r="X201" s="25"/>
      <c r="Y201" s="25"/>
      <c r="Z201" s="25"/>
      <c r="AA201" s="25"/>
    </row>
    <row r="202" ht="15.75" customHeight="1">
      <c r="A202" s="23"/>
      <c r="H202" s="25"/>
      <c r="I202" s="25"/>
      <c r="J202" s="25"/>
      <c r="K202" s="25"/>
      <c r="L202" s="25"/>
      <c r="M202" s="25"/>
      <c r="N202" s="25"/>
      <c r="O202" s="25"/>
      <c r="P202" s="25"/>
      <c r="Q202" s="25"/>
      <c r="R202" s="25"/>
      <c r="S202" s="25"/>
      <c r="T202" s="25"/>
      <c r="U202" s="25"/>
      <c r="V202" s="25"/>
      <c r="W202" s="25"/>
      <c r="X202" s="25"/>
      <c r="Y202" s="25"/>
      <c r="Z202" s="25"/>
      <c r="AA202" s="25"/>
    </row>
    <row r="203" ht="15.75" customHeight="1">
      <c r="A203" s="23"/>
      <c r="H203" s="25"/>
      <c r="I203" s="25"/>
      <c r="J203" s="25"/>
      <c r="K203" s="25"/>
      <c r="L203" s="25"/>
      <c r="M203" s="25"/>
      <c r="N203" s="25"/>
      <c r="O203" s="25"/>
      <c r="P203" s="25"/>
      <c r="Q203" s="25"/>
      <c r="R203" s="25"/>
      <c r="S203" s="25"/>
      <c r="T203" s="25"/>
      <c r="U203" s="25"/>
      <c r="V203" s="25"/>
      <c r="W203" s="25"/>
      <c r="X203" s="25"/>
      <c r="Y203" s="25"/>
      <c r="Z203" s="25"/>
      <c r="AA203" s="25"/>
    </row>
    <row r="204" ht="15.75" customHeight="1">
      <c r="A204" s="23"/>
      <c r="H204" s="25"/>
      <c r="I204" s="25"/>
      <c r="J204" s="25"/>
      <c r="K204" s="25"/>
      <c r="L204" s="25"/>
      <c r="M204" s="25"/>
      <c r="N204" s="25"/>
      <c r="O204" s="25"/>
      <c r="P204" s="25"/>
      <c r="Q204" s="25"/>
      <c r="R204" s="25"/>
      <c r="S204" s="25"/>
      <c r="T204" s="25"/>
      <c r="U204" s="25"/>
      <c r="V204" s="25"/>
      <c r="W204" s="25"/>
      <c r="X204" s="25"/>
      <c r="Y204" s="25"/>
      <c r="Z204" s="25"/>
      <c r="AA204" s="25"/>
    </row>
    <row r="205" ht="15.75" customHeight="1">
      <c r="A205" s="23"/>
      <c r="H205" s="25"/>
      <c r="I205" s="25"/>
      <c r="J205" s="25"/>
      <c r="K205" s="25"/>
      <c r="L205" s="25"/>
      <c r="M205" s="25"/>
      <c r="N205" s="25"/>
      <c r="O205" s="25"/>
      <c r="P205" s="25"/>
      <c r="Q205" s="25"/>
      <c r="R205" s="25"/>
      <c r="S205" s="25"/>
      <c r="T205" s="25"/>
      <c r="U205" s="25"/>
      <c r="V205" s="25"/>
      <c r="W205" s="25"/>
      <c r="X205" s="25"/>
      <c r="Y205" s="25"/>
      <c r="Z205" s="25"/>
      <c r="AA205" s="25"/>
    </row>
    <row r="206" ht="15.75" customHeight="1">
      <c r="A206" s="23"/>
      <c r="H206" s="29"/>
      <c r="I206" s="25"/>
      <c r="J206" s="25"/>
      <c r="K206" s="25"/>
      <c r="L206" s="25"/>
      <c r="M206" s="25"/>
      <c r="N206" s="25"/>
      <c r="O206" s="25"/>
      <c r="P206" s="25"/>
      <c r="Q206" s="25"/>
      <c r="R206" s="25"/>
      <c r="S206" s="25"/>
      <c r="T206" s="25"/>
      <c r="U206" s="25"/>
      <c r="V206" s="25"/>
      <c r="W206" s="25"/>
      <c r="X206" s="25"/>
      <c r="Y206" s="25"/>
      <c r="Z206" s="25"/>
      <c r="AA206" s="25"/>
    </row>
    <row r="207" ht="15.75" customHeight="1">
      <c r="A207" s="26"/>
      <c r="H207" s="21"/>
      <c r="I207" s="25"/>
      <c r="J207" s="25"/>
      <c r="K207" s="25"/>
      <c r="L207" s="25"/>
      <c r="M207" s="25"/>
      <c r="N207" s="25"/>
      <c r="O207" s="25"/>
      <c r="P207" s="25"/>
      <c r="Q207" s="25"/>
      <c r="R207" s="25"/>
      <c r="S207" s="25"/>
      <c r="T207" s="25"/>
      <c r="U207" s="25"/>
      <c r="V207" s="25"/>
      <c r="W207" s="25"/>
      <c r="X207" s="25"/>
      <c r="Y207" s="25"/>
      <c r="Z207" s="25"/>
      <c r="AA207" s="25"/>
    </row>
    <row r="208" ht="15.75" customHeight="1">
      <c r="A208" s="47"/>
      <c r="H208" s="21"/>
      <c r="I208" s="25"/>
      <c r="J208" s="25"/>
      <c r="K208" s="25"/>
      <c r="L208" s="25"/>
      <c r="M208" s="25"/>
      <c r="N208" s="25"/>
      <c r="O208" s="25"/>
      <c r="P208" s="25"/>
      <c r="Q208" s="25"/>
      <c r="R208" s="25"/>
      <c r="S208" s="25"/>
      <c r="T208" s="25"/>
      <c r="U208" s="25"/>
      <c r="V208" s="25"/>
      <c r="W208" s="25"/>
      <c r="X208" s="25"/>
      <c r="Y208" s="25"/>
      <c r="Z208" s="25"/>
      <c r="AA208" s="25"/>
    </row>
    <row r="209" ht="15.75" customHeight="1">
      <c r="A209" s="47"/>
      <c r="H209" s="21"/>
      <c r="I209" s="25"/>
      <c r="J209" s="25"/>
      <c r="K209" s="25"/>
      <c r="L209" s="25"/>
      <c r="M209" s="25"/>
      <c r="N209" s="25"/>
      <c r="O209" s="25"/>
      <c r="P209" s="25"/>
      <c r="Q209" s="25"/>
      <c r="R209" s="25"/>
      <c r="S209" s="25"/>
      <c r="T209" s="25"/>
      <c r="U209" s="25"/>
      <c r="V209" s="25"/>
      <c r="W209" s="25"/>
      <c r="X209" s="25"/>
      <c r="Y209" s="25"/>
      <c r="Z209" s="25"/>
      <c r="AA209" s="25"/>
    </row>
    <row r="210" ht="15.75" customHeight="1">
      <c r="A210" s="47"/>
      <c r="H210" s="21"/>
      <c r="I210" s="25"/>
      <c r="J210" s="25"/>
      <c r="K210" s="25"/>
      <c r="L210" s="25"/>
      <c r="M210" s="25"/>
      <c r="N210" s="25"/>
      <c r="O210" s="25"/>
      <c r="P210" s="25"/>
      <c r="Q210" s="25"/>
      <c r="R210" s="25"/>
      <c r="S210" s="25"/>
      <c r="T210" s="25"/>
      <c r="U210" s="25"/>
      <c r="V210" s="25"/>
      <c r="W210" s="25"/>
      <c r="X210" s="25"/>
      <c r="Y210" s="25"/>
      <c r="Z210" s="25"/>
      <c r="AA210" s="25"/>
    </row>
    <row r="211" ht="15.75" customHeight="1">
      <c r="A211" s="77"/>
      <c r="B211" s="76"/>
      <c r="C211" s="76"/>
      <c r="D211" s="76"/>
      <c r="E211" s="76"/>
      <c r="F211" s="76"/>
      <c r="G211" s="76"/>
      <c r="H211" s="24"/>
      <c r="I211" s="25"/>
      <c r="J211" s="25"/>
      <c r="K211" s="25"/>
      <c r="L211" s="25"/>
      <c r="M211" s="25"/>
      <c r="N211" s="25"/>
      <c r="O211" s="25"/>
      <c r="P211" s="25"/>
      <c r="Q211" s="25"/>
      <c r="R211" s="25"/>
      <c r="S211" s="25"/>
      <c r="T211" s="25"/>
      <c r="U211" s="25"/>
      <c r="V211" s="25"/>
      <c r="W211" s="25"/>
      <c r="X211" s="25"/>
      <c r="Y211" s="25"/>
      <c r="Z211" s="25"/>
      <c r="AA211" s="25"/>
    </row>
    <row r="212" ht="24.75" customHeight="1">
      <c r="A212" s="77"/>
      <c r="B212" s="27"/>
      <c r="C212" s="27"/>
      <c r="D212" s="85"/>
      <c r="E212" s="27"/>
      <c r="F212" s="27"/>
      <c r="G212" s="28"/>
      <c r="H212" s="21"/>
      <c r="I212" s="25"/>
      <c r="J212" s="25"/>
      <c r="K212" s="25"/>
      <c r="L212" s="25"/>
      <c r="M212" s="25"/>
      <c r="N212" s="25"/>
      <c r="O212" s="25"/>
      <c r="P212" s="25"/>
      <c r="Q212" s="25"/>
      <c r="R212" s="25"/>
      <c r="S212" s="25"/>
      <c r="T212" s="25"/>
      <c r="U212" s="25"/>
      <c r="V212" s="25"/>
      <c r="W212" s="25"/>
      <c r="X212" s="25"/>
      <c r="Y212" s="25"/>
      <c r="Z212" s="25"/>
      <c r="AA212" s="25"/>
    </row>
    <row r="213" ht="15.75" customHeight="1">
      <c r="A213" s="26"/>
      <c r="H213" s="29"/>
      <c r="I213" s="25"/>
      <c r="J213" s="25"/>
      <c r="K213" s="25"/>
      <c r="L213" s="25"/>
      <c r="M213" s="25"/>
      <c r="N213" s="25"/>
      <c r="O213" s="25"/>
      <c r="P213" s="25"/>
      <c r="Q213" s="25"/>
      <c r="R213" s="25"/>
      <c r="S213" s="25"/>
      <c r="T213" s="25"/>
      <c r="U213" s="25"/>
      <c r="V213" s="25"/>
      <c r="W213" s="25"/>
      <c r="X213" s="25"/>
      <c r="Y213" s="25"/>
      <c r="Z213" s="25"/>
      <c r="AA213" s="25"/>
    </row>
    <row r="214" ht="48.0" customHeight="1">
      <c r="A214" s="58"/>
      <c r="H214" s="25"/>
      <c r="I214" s="25"/>
      <c r="J214" s="25"/>
      <c r="K214" s="25"/>
      <c r="L214" s="25"/>
      <c r="M214" s="25"/>
      <c r="N214" s="25"/>
      <c r="O214" s="25"/>
      <c r="P214" s="25"/>
      <c r="Q214" s="25"/>
      <c r="R214" s="25"/>
      <c r="S214" s="25"/>
      <c r="T214" s="25"/>
      <c r="U214" s="25"/>
      <c r="V214" s="25"/>
      <c r="W214" s="25"/>
      <c r="X214" s="25"/>
      <c r="Y214" s="25"/>
      <c r="Z214" s="25"/>
      <c r="AA214" s="25"/>
    </row>
    <row r="215" ht="54.0" customHeight="1">
      <c r="A215" s="57"/>
      <c r="H215" s="25"/>
      <c r="I215" s="25"/>
      <c r="J215" s="25"/>
      <c r="K215" s="25"/>
      <c r="L215" s="25"/>
      <c r="M215" s="25"/>
      <c r="N215" s="25"/>
      <c r="O215" s="25"/>
      <c r="P215" s="25"/>
      <c r="Q215" s="25"/>
      <c r="R215" s="25"/>
      <c r="S215" s="25"/>
      <c r="T215" s="25"/>
      <c r="U215" s="25"/>
      <c r="V215" s="25"/>
      <c r="W215" s="25"/>
      <c r="X215" s="25"/>
      <c r="Y215" s="25"/>
      <c r="Z215" s="25"/>
      <c r="AA215" s="25"/>
    </row>
    <row r="216" ht="74.25" customHeight="1">
      <c r="A216" s="58"/>
      <c r="H216" s="25"/>
      <c r="I216" s="25"/>
      <c r="J216" s="25"/>
      <c r="K216" s="25"/>
      <c r="L216" s="25"/>
      <c r="M216" s="25"/>
      <c r="N216" s="25"/>
      <c r="O216" s="25"/>
      <c r="P216" s="25"/>
      <c r="Q216" s="25"/>
      <c r="R216" s="25"/>
      <c r="S216" s="25"/>
      <c r="T216" s="25"/>
      <c r="U216" s="25"/>
      <c r="V216" s="25"/>
      <c r="W216" s="25"/>
      <c r="X216" s="25"/>
      <c r="Y216" s="25"/>
      <c r="Z216" s="25"/>
      <c r="AA216" s="25"/>
    </row>
    <row r="217" ht="15.75" customHeight="1">
      <c r="A217" s="58"/>
      <c r="H217" s="25"/>
      <c r="I217" s="25"/>
      <c r="J217" s="25"/>
      <c r="K217" s="25"/>
      <c r="L217" s="25"/>
      <c r="M217" s="25"/>
      <c r="N217" s="25"/>
      <c r="O217" s="25"/>
      <c r="P217" s="25"/>
      <c r="Q217" s="25"/>
      <c r="R217" s="25"/>
      <c r="S217" s="25"/>
      <c r="T217" s="25"/>
      <c r="U217" s="25"/>
      <c r="V217" s="25"/>
      <c r="W217" s="25"/>
      <c r="X217" s="25"/>
      <c r="Y217" s="25"/>
      <c r="Z217" s="25"/>
      <c r="AA217" s="25"/>
    </row>
    <row r="218" ht="34.5" customHeight="1">
      <c r="A218" s="58"/>
      <c r="H218" s="25"/>
      <c r="I218" s="25"/>
      <c r="J218" s="25"/>
      <c r="K218" s="25"/>
      <c r="L218" s="25"/>
      <c r="M218" s="25"/>
      <c r="N218" s="25"/>
      <c r="O218" s="25"/>
      <c r="P218" s="25"/>
      <c r="Q218" s="25"/>
      <c r="R218" s="25"/>
      <c r="S218" s="25"/>
      <c r="T218" s="25"/>
      <c r="U218" s="25"/>
      <c r="V218" s="25"/>
      <c r="W218" s="25"/>
      <c r="X218" s="25"/>
      <c r="Y218" s="25"/>
      <c r="Z218" s="25"/>
      <c r="AA218" s="25"/>
    </row>
    <row r="219" ht="25.5" customHeight="1">
      <c r="A219" s="58"/>
      <c r="H219" s="25"/>
      <c r="I219" s="25"/>
      <c r="J219" s="25"/>
      <c r="K219" s="25"/>
      <c r="L219" s="25"/>
      <c r="M219" s="25"/>
      <c r="N219" s="25"/>
      <c r="O219" s="25"/>
      <c r="P219" s="25"/>
      <c r="Q219" s="25"/>
      <c r="R219" s="25"/>
      <c r="S219" s="25"/>
      <c r="T219" s="25"/>
      <c r="U219" s="25"/>
      <c r="V219" s="25"/>
      <c r="W219" s="25"/>
      <c r="X219" s="25"/>
      <c r="Y219" s="25"/>
      <c r="Z219" s="25"/>
      <c r="AA219" s="25"/>
    </row>
    <row r="220" ht="52.5" customHeight="1">
      <c r="A220" s="58"/>
      <c r="H220" s="25"/>
      <c r="I220" s="25"/>
      <c r="J220" s="25"/>
      <c r="K220" s="25"/>
      <c r="L220" s="25"/>
      <c r="M220" s="25"/>
      <c r="N220" s="25"/>
      <c r="O220" s="25"/>
      <c r="P220" s="25"/>
      <c r="Q220" s="25"/>
      <c r="R220" s="25"/>
      <c r="S220" s="25"/>
      <c r="T220" s="25"/>
      <c r="U220" s="25"/>
      <c r="V220" s="25"/>
      <c r="W220" s="25"/>
      <c r="X220" s="25"/>
      <c r="Y220" s="25"/>
      <c r="Z220" s="25"/>
      <c r="AA220" s="25"/>
    </row>
    <row r="221" ht="50.25" customHeight="1">
      <c r="A221" s="58"/>
      <c r="H221" s="25"/>
      <c r="I221" s="25"/>
      <c r="J221" s="25"/>
      <c r="K221" s="25"/>
      <c r="L221" s="25"/>
      <c r="M221" s="25"/>
      <c r="N221" s="25"/>
      <c r="O221" s="25"/>
      <c r="P221" s="25"/>
      <c r="Q221" s="25"/>
      <c r="R221" s="25"/>
      <c r="S221" s="25"/>
      <c r="T221" s="25"/>
      <c r="U221" s="25"/>
      <c r="V221" s="25"/>
      <c r="W221" s="25"/>
      <c r="X221" s="25"/>
      <c r="Y221" s="25"/>
      <c r="Z221" s="25"/>
      <c r="AA221" s="25"/>
    </row>
    <row r="222" ht="39.0" customHeight="1">
      <c r="A222" s="58"/>
      <c r="H222" s="25"/>
      <c r="I222" s="25"/>
      <c r="J222" s="25"/>
      <c r="K222" s="25"/>
      <c r="L222" s="25"/>
      <c r="M222" s="25"/>
      <c r="N222" s="25"/>
      <c r="O222" s="25"/>
      <c r="P222" s="25"/>
      <c r="Q222" s="25"/>
      <c r="R222" s="25"/>
      <c r="S222" s="25"/>
      <c r="T222" s="25"/>
      <c r="U222" s="25"/>
      <c r="V222" s="25"/>
      <c r="W222" s="25"/>
      <c r="X222" s="25"/>
      <c r="Y222" s="25"/>
      <c r="Z222" s="25"/>
      <c r="AA222" s="25"/>
    </row>
    <row r="223" ht="15.75" customHeight="1">
      <c r="A223" s="58"/>
      <c r="H223" s="25"/>
      <c r="I223" s="25"/>
      <c r="J223" s="25"/>
      <c r="K223" s="25"/>
      <c r="L223" s="25"/>
      <c r="M223" s="25"/>
      <c r="N223" s="25"/>
      <c r="O223" s="25"/>
      <c r="P223" s="25"/>
      <c r="Q223" s="25"/>
      <c r="R223" s="25"/>
      <c r="S223" s="25"/>
      <c r="T223" s="25"/>
      <c r="U223" s="25"/>
      <c r="V223" s="25"/>
      <c r="W223" s="25"/>
      <c r="X223" s="25"/>
      <c r="Y223" s="25"/>
      <c r="Z223" s="25"/>
      <c r="AA223" s="25"/>
    </row>
    <row r="224" ht="15.75" customHeight="1">
      <c r="A224" s="26"/>
      <c r="H224" s="29"/>
      <c r="I224" s="25"/>
      <c r="J224" s="25"/>
      <c r="K224" s="25"/>
      <c r="L224" s="25"/>
      <c r="M224" s="25"/>
      <c r="N224" s="25"/>
      <c r="O224" s="25"/>
      <c r="P224" s="25"/>
      <c r="Q224" s="25"/>
      <c r="R224" s="25"/>
      <c r="S224" s="25"/>
      <c r="T224" s="25"/>
      <c r="U224" s="25"/>
      <c r="V224" s="25"/>
      <c r="W224" s="25"/>
      <c r="X224" s="25"/>
      <c r="Y224" s="25"/>
      <c r="Z224" s="25"/>
      <c r="AA224" s="25"/>
    </row>
    <row r="225" ht="15.75" customHeight="1">
      <c r="A225" s="47"/>
      <c r="H225" s="21"/>
      <c r="I225" s="25"/>
      <c r="J225" s="25"/>
      <c r="K225" s="25"/>
      <c r="L225" s="25"/>
      <c r="M225" s="25"/>
      <c r="N225" s="25"/>
      <c r="O225" s="25"/>
      <c r="P225" s="25"/>
      <c r="Q225" s="25"/>
      <c r="R225" s="25"/>
      <c r="S225" s="25"/>
      <c r="T225" s="25"/>
      <c r="U225" s="25"/>
      <c r="V225" s="25"/>
      <c r="W225" s="25"/>
      <c r="X225" s="25"/>
      <c r="Y225" s="25"/>
      <c r="Z225" s="25"/>
      <c r="AA225" s="25"/>
    </row>
    <row r="226" ht="15.75" customHeight="1">
      <c r="A226" s="47"/>
      <c r="H226" s="21"/>
      <c r="I226" s="25"/>
      <c r="J226" s="25"/>
      <c r="K226" s="25"/>
      <c r="L226" s="25"/>
      <c r="M226" s="25"/>
      <c r="N226" s="25"/>
      <c r="O226" s="25"/>
      <c r="P226" s="25"/>
      <c r="Q226" s="25"/>
      <c r="R226" s="25"/>
      <c r="S226" s="25"/>
      <c r="T226" s="25"/>
      <c r="U226" s="25"/>
      <c r="V226" s="25"/>
      <c r="W226" s="25"/>
      <c r="X226" s="25"/>
      <c r="Y226" s="25"/>
      <c r="Z226" s="25"/>
      <c r="AA226" s="25"/>
    </row>
    <row r="227" ht="15.75" customHeight="1">
      <c r="A227" s="47"/>
      <c r="H227" s="21"/>
      <c r="I227" s="25"/>
      <c r="J227" s="25"/>
      <c r="K227" s="25"/>
      <c r="L227" s="25"/>
      <c r="M227" s="25"/>
      <c r="N227" s="25"/>
      <c r="O227" s="25"/>
      <c r="P227" s="25"/>
      <c r="Q227" s="25"/>
      <c r="R227" s="25"/>
      <c r="S227" s="25"/>
      <c r="T227" s="25"/>
      <c r="U227" s="25"/>
      <c r="V227" s="25"/>
      <c r="W227" s="25"/>
      <c r="X227" s="25"/>
      <c r="Y227" s="25"/>
      <c r="Z227" s="25"/>
      <c r="AA227" s="25"/>
    </row>
    <row r="228" ht="15.75" customHeight="1">
      <c r="A228" s="77"/>
      <c r="H228" s="21"/>
      <c r="I228" s="25"/>
      <c r="J228" s="25"/>
      <c r="K228" s="25"/>
      <c r="L228" s="25"/>
      <c r="M228" s="25"/>
      <c r="N228" s="25"/>
      <c r="O228" s="25"/>
      <c r="P228" s="25"/>
      <c r="Q228" s="25"/>
      <c r="R228" s="25"/>
      <c r="S228" s="25"/>
      <c r="T228" s="25"/>
      <c r="U228" s="25"/>
      <c r="V228" s="25"/>
      <c r="W228" s="25"/>
      <c r="X228" s="25"/>
      <c r="Y228" s="25"/>
      <c r="Z228" s="25"/>
      <c r="AA228" s="25"/>
    </row>
    <row r="229" ht="22.5" customHeight="1">
      <c r="A229" s="77"/>
      <c r="B229" s="27"/>
      <c r="C229" s="27"/>
      <c r="D229" s="27"/>
      <c r="E229" s="27"/>
      <c r="F229" s="27"/>
      <c r="G229" s="28"/>
      <c r="H229" s="21"/>
      <c r="I229" s="25"/>
      <c r="J229" s="25"/>
      <c r="K229" s="25"/>
      <c r="L229" s="25"/>
      <c r="M229" s="25"/>
      <c r="N229" s="25"/>
      <c r="O229" s="25"/>
      <c r="P229" s="25"/>
      <c r="Q229" s="25"/>
      <c r="R229" s="25"/>
      <c r="S229" s="25"/>
      <c r="T229" s="25"/>
      <c r="U229" s="25"/>
      <c r="V229" s="25"/>
      <c r="W229" s="25"/>
      <c r="X229" s="25"/>
      <c r="Y229" s="25"/>
      <c r="Z229" s="25"/>
      <c r="AA229" s="25"/>
    </row>
    <row r="230" ht="15.75" customHeight="1">
      <c r="A230" s="26"/>
      <c r="H230" s="29"/>
      <c r="I230" s="25"/>
      <c r="J230" s="25"/>
      <c r="K230" s="25"/>
      <c r="L230" s="25"/>
      <c r="M230" s="25"/>
      <c r="N230" s="25"/>
      <c r="O230" s="25"/>
      <c r="P230" s="25"/>
      <c r="Q230" s="25"/>
      <c r="R230" s="25"/>
      <c r="S230" s="25"/>
      <c r="T230" s="25"/>
      <c r="U230" s="25"/>
      <c r="V230" s="25"/>
      <c r="W230" s="25"/>
      <c r="X230" s="25"/>
      <c r="Y230" s="25"/>
      <c r="Z230" s="25"/>
      <c r="AA230" s="25"/>
    </row>
    <row r="231" ht="27.0" customHeight="1">
      <c r="A231" s="86"/>
      <c r="H231" s="25"/>
      <c r="I231" s="25"/>
      <c r="J231" s="25"/>
      <c r="K231" s="25"/>
      <c r="L231" s="25"/>
      <c r="M231" s="25"/>
      <c r="N231" s="25"/>
      <c r="O231" s="25"/>
      <c r="P231" s="25"/>
      <c r="Q231" s="25"/>
      <c r="R231" s="25"/>
      <c r="S231" s="25"/>
      <c r="T231" s="25"/>
      <c r="U231" s="25"/>
      <c r="V231" s="25"/>
      <c r="W231" s="25"/>
      <c r="X231" s="25"/>
      <c r="Y231" s="25"/>
      <c r="Z231" s="25"/>
      <c r="AA231" s="25"/>
    </row>
    <row r="232" ht="53.25" customHeight="1">
      <c r="A232" s="73"/>
      <c r="H232" s="25"/>
      <c r="I232" s="25"/>
      <c r="J232" s="25"/>
      <c r="K232" s="25"/>
      <c r="L232" s="25"/>
      <c r="M232" s="25"/>
      <c r="N232" s="25"/>
      <c r="O232" s="25"/>
      <c r="P232" s="25"/>
      <c r="Q232" s="25"/>
      <c r="R232" s="25"/>
      <c r="S232" s="25"/>
      <c r="T232" s="25"/>
      <c r="U232" s="25"/>
      <c r="V232" s="25"/>
      <c r="W232" s="25"/>
      <c r="X232" s="25"/>
      <c r="Y232" s="25"/>
      <c r="Z232" s="25"/>
      <c r="AA232" s="25"/>
    </row>
    <row r="233" ht="53.25" customHeight="1">
      <c r="A233" s="73"/>
      <c r="H233" s="25"/>
      <c r="I233" s="25"/>
      <c r="J233" s="25"/>
      <c r="K233" s="25"/>
      <c r="L233" s="25"/>
      <c r="M233" s="25"/>
      <c r="N233" s="25"/>
      <c r="O233" s="25"/>
      <c r="P233" s="25"/>
      <c r="Q233" s="25"/>
      <c r="R233" s="25"/>
      <c r="S233" s="25"/>
      <c r="T233" s="25"/>
      <c r="U233" s="25"/>
      <c r="V233" s="25"/>
      <c r="W233" s="25"/>
      <c r="X233" s="25"/>
      <c r="Y233" s="25"/>
      <c r="Z233" s="25"/>
      <c r="AA233" s="25"/>
    </row>
    <row r="234" ht="53.25" customHeight="1">
      <c r="A234" s="73"/>
      <c r="H234" s="25"/>
      <c r="I234" s="25"/>
      <c r="J234" s="25"/>
      <c r="K234" s="25"/>
      <c r="L234" s="25"/>
      <c r="M234" s="25"/>
      <c r="N234" s="25"/>
      <c r="O234" s="25"/>
      <c r="P234" s="25"/>
      <c r="Q234" s="25"/>
      <c r="R234" s="25"/>
      <c r="S234" s="25"/>
      <c r="T234" s="25"/>
      <c r="U234" s="25"/>
      <c r="V234" s="25"/>
      <c r="W234" s="25"/>
      <c r="X234" s="25"/>
      <c r="Y234" s="25"/>
      <c r="Z234" s="25"/>
      <c r="AA234" s="25"/>
    </row>
    <row r="235" ht="53.25" customHeight="1">
      <c r="A235" s="73"/>
      <c r="H235" s="25"/>
      <c r="I235" s="25"/>
      <c r="J235" s="25"/>
      <c r="K235" s="25"/>
      <c r="L235" s="25"/>
      <c r="M235" s="25"/>
      <c r="N235" s="25"/>
      <c r="O235" s="25"/>
      <c r="P235" s="25"/>
      <c r="Q235" s="25"/>
      <c r="R235" s="25"/>
      <c r="S235" s="25"/>
      <c r="T235" s="25"/>
      <c r="U235" s="25"/>
      <c r="V235" s="25"/>
      <c r="W235" s="25"/>
      <c r="X235" s="25"/>
      <c r="Y235" s="25"/>
      <c r="Z235" s="25"/>
      <c r="AA235" s="25"/>
    </row>
    <row r="236" ht="53.25" customHeight="1">
      <c r="A236" s="73"/>
      <c r="H236" s="25"/>
      <c r="I236" s="25"/>
      <c r="J236" s="25"/>
      <c r="K236" s="25"/>
      <c r="L236" s="25"/>
      <c r="M236" s="25"/>
      <c r="N236" s="25"/>
      <c r="O236" s="25"/>
      <c r="P236" s="25"/>
      <c r="Q236" s="25"/>
      <c r="R236" s="25"/>
      <c r="S236" s="25"/>
      <c r="T236" s="25"/>
      <c r="U236" s="25"/>
      <c r="V236" s="25"/>
      <c r="W236" s="25"/>
      <c r="X236" s="25"/>
      <c r="Y236" s="25"/>
      <c r="Z236" s="25"/>
      <c r="AA236" s="25"/>
    </row>
    <row r="237" ht="12.75" customHeight="1">
      <c r="A237" s="73"/>
      <c r="H237" s="25"/>
      <c r="I237" s="25"/>
      <c r="J237" s="25"/>
      <c r="K237" s="25"/>
      <c r="L237" s="25"/>
      <c r="M237" s="25"/>
      <c r="N237" s="25"/>
      <c r="O237" s="25"/>
      <c r="P237" s="25"/>
      <c r="Q237" s="25"/>
      <c r="R237" s="25"/>
      <c r="S237" s="25"/>
      <c r="T237" s="25"/>
      <c r="U237" s="25"/>
      <c r="V237" s="25"/>
      <c r="W237" s="25"/>
      <c r="X237" s="25"/>
      <c r="Y237" s="25"/>
      <c r="Z237" s="25"/>
      <c r="AA237" s="25"/>
    </row>
    <row r="238" ht="15.0" customHeight="1">
      <c r="A238" s="87"/>
      <c r="H238" s="87"/>
      <c r="I238" s="25"/>
      <c r="J238" s="25"/>
      <c r="K238" s="25"/>
      <c r="L238" s="25"/>
      <c r="M238" s="25"/>
      <c r="N238" s="25"/>
      <c r="O238" s="25"/>
      <c r="P238" s="25"/>
      <c r="Q238" s="25"/>
      <c r="R238" s="25"/>
      <c r="S238" s="25"/>
      <c r="T238" s="25"/>
      <c r="U238" s="25"/>
      <c r="V238" s="25"/>
      <c r="W238" s="25"/>
      <c r="X238" s="25"/>
      <c r="Y238" s="25"/>
      <c r="Z238" s="25"/>
      <c r="AA238" s="25"/>
    </row>
    <row r="239" ht="15.75" customHeight="1">
      <c r="A239" s="87"/>
      <c r="H239" s="21"/>
      <c r="I239" s="25"/>
      <c r="J239" s="25"/>
      <c r="K239" s="25"/>
      <c r="L239" s="25"/>
      <c r="M239" s="25"/>
      <c r="N239" s="25"/>
      <c r="O239" s="25"/>
      <c r="P239" s="25"/>
      <c r="Q239" s="25"/>
      <c r="R239" s="25"/>
      <c r="S239" s="25"/>
      <c r="T239" s="25"/>
      <c r="U239" s="25"/>
      <c r="V239" s="25"/>
      <c r="W239" s="25"/>
      <c r="X239" s="25"/>
      <c r="Y239" s="25"/>
      <c r="Z239" s="25"/>
      <c r="AA239" s="25"/>
    </row>
    <row r="240" ht="15.75" customHeight="1">
      <c r="A240" s="87"/>
      <c r="H240" s="21"/>
      <c r="I240" s="25"/>
      <c r="J240" s="25"/>
      <c r="K240" s="25"/>
      <c r="L240" s="25"/>
      <c r="M240" s="25"/>
      <c r="N240" s="25"/>
      <c r="O240" s="25"/>
      <c r="P240" s="25"/>
      <c r="Q240" s="25"/>
      <c r="R240" s="25"/>
      <c r="S240" s="25"/>
      <c r="T240" s="25"/>
      <c r="U240" s="25"/>
      <c r="V240" s="25"/>
      <c r="W240" s="25"/>
      <c r="X240" s="25"/>
      <c r="Y240" s="25"/>
      <c r="Z240" s="25"/>
      <c r="AA240" s="25"/>
    </row>
    <row r="241" ht="15.75" customHeight="1">
      <c r="A241" s="87"/>
      <c r="H241" s="21"/>
      <c r="I241" s="25"/>
      <c r="J241" s="25"/>
      <c r="K241" s="25"/>
      <c r="L241" s="25"/>
      <c r="M241" s="25"/>
      <c r="N241" s="25"/>
      <c r="O241" s="25"/>
      <c r="P241" s="25"/>
      <c r="Q241" s="25"/>
      <c r="R241" s="25"/>
      <c r="S241" s="25"/>
      <c r="T241" s="25"/>
      <c r="U241" s="25"/>
      <c r="V241" s="25"/>
      <c r="W241" s="25"/>
      <c r="X241" s="25"/>
      <c r="Y241" s="25"/>
      <c r="Z241" s="25"/>
      <c r="AA241" s="25"/>
    </row>
    <row r="242" ht="15.75" customHeight="1">
      <c r="A242" s="87"/>
      <c r="H242" s="21"/>
      <c r="I242" s="25"/>
      <c r="J242" s="25"/>
      <c r="K242" s="25"/>
      <c r="L242" s="25"/>
      <c r="M242" s="25"/>
      <c r="N242" s="25"/>
      <c r="O242" s="25"/>
      <c r="P242" s="25"/>
      <c r="Q242" s="25"/>
      <c r="R242" s="25"/>
      <c r="S242" s="25"/>
      <c r="T242" s="25"/>
      <c r="U242" s="25"/>
      <c r="V242" s="25"/>
      <c r="W242" s="25"/>
      <c r="X242" s="25"/>
      <c r="Y242" s="25"/>
      <c r="Z242" s="25"/>
      <c r="AA242" s="25"/>
    </row>
    <row r="243" ht="15.75" customHeight="1">
      <c r="A243" s="87"/>
      <c r="B243" s="76"/>
      <c r="C243" s="76"/>
      <c r="D243" s="76"/>
      <c r="E243" s="76"/>
      <c r="F243" s="76"/>
      <c r="G243" s="76"/>
      <c r="H243" s="21"/>
      <c r="I243" s="25"/>
      <c r="J243" s="25"/>
      <c r="K243" s="25"/>
      <c r="L243" s="25"/>
      <c r="M243" s="25"/>
      <c r="N243" s="25"/>
      <c r="O243" s="25"/>
      <c r="P243" s="25"/>
      <c r="Q243" s="25"/>
      <c r="R243" s="25"/>
      <c r="S243" s="25"/>
      <c r="T243" s="25"/>
      <c r="U243" s="25"/>
      <c r="V243" s="25"/>
      <c r="W243" s="25"/>
      <c r="X243" s="25"/>
      <c r="Y243" s="25"/>
      <c r="Z243" s="25"/>
      <c r="AA243" s="25"/>
    </row>
    <row r="244" ht="15.75" customHeight="1">
      <c r="A244" s="87"/>
      <c r="H244" s="24"/>
      <c r="I244" s="25"/>
      <c r="J244" s="25"/>
      <c r="K244" s="25"/>
      <c r="L244" s="25"/>
      <c r="M244" s="25"/>
      <c r="N244" s="25"/>
      <c r="O244" s="25"/>
      <c r="P244" s="25"/>
      <c r="Q244" s="25"/>
      <c r="R244" s="25"/>
      <c r="S244" s="25"/>
      <c r="T244" s="25"/>
      <c r="U244" s="25"/>
      <c r="V244" s="25"/>
      <c r="W244" s="25"/>
      <c r="X244" s="25"/>
      <c r="Y244" s="25"/>
      <c r="Z244" s="25"/>
      <c r="AA244" s="25"/>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c r="I285" s="88"/>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G2"/>
    <mergeCell ref="B5:B9"/>
    <mergeCell ref="B12:B16"/>
    <mergeCell ref="B18:B21"/>
  </mergeCells>
  <conditionalFormatting sqref="F28:F38 G276:G1000">
    <cfRule type="notContainsBlanks" dxfId="0" priority="1">
      <formula>LEN(TRIM(F28))&gt;0</formula>
    </cfRule>
  </conditionalFormatting>
  <dataValidations>
    <dataValidation type="decimal" allowBlank="1" showInputMessage="1" showErrorMessage="1" prompt="Please enter a whole number. For example, 11" sqref="E20 E22:E23">
      <formula1>0.0</formula1>
      <formula2>10000.0</formula2>
    </dataValidation>
    <dataValidation type="list" allowBlank="1" showErrorMessage="1" sqref="E17">
      <formula1>"Please choose an option,Federative Structure,Single Entity,Other"</formula1>
    </dataValidation>
    <dataValidation type="list" allowBlank="1" showErrorMessage="1" sqref="E13:E15">
      <formula1>"Please choose an option,Yes,No,Not Applicable"</formula1>
    </dataValidation>
    <dataValidation type="list" allowBlank="1" showInputMessage="1" showErrorMessage="1" prompt="Please choose an option, Yes, No" sqref="D41:D44">
      <formula1>"Please choose an option,Yes,No"</formula1>
    </dataValidation>
    <dataValidation type="custom" allowBlank="1" showDropDown="1" sqref="F28:F37 I285">
      <formula1>AND(ISNUMBER(F28),(NOT(OR(NOT(ISERROR(DATEVALUE(F28))), AND(ISNUMBER(F28), LEFT(CELL("format", F28))="D")))))</formula1>
    </dataValidation>
    <dataValidation type="decimal" allowBlank="1" showInputMessage="1" showErrorMessage="1" prompt="Please enter a whole number. For example, 12" sqref="E19">
      <formula1>0.0</formula1>
      <formula2>10000.0</formula2>
    </dataValidation>
    <dataValidation type="decimal" allowBlank="1" showInputMessage="1" showErrorMessage="1" prompt="Please enter a whole number. For example, 12" sqref="E18">
      <formula1>1.0</formula1>
      <formula2>10000.0</formula2>
    </dataValidation>
    <dataValidation type="list" allowBlank="1" showErrorMessage="1" sqref="E10">
      <formula1>"Please choose an option,Yes,No"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hidden="1" min="2" max="2" width="7.63"/>
    <col customWidth="1" min="3" max="3" width="74.5"/>
    <col customWidth="1" min="4" max="4" width="19.63"/>
    <col customWidth="1" min="5" max="5" width="13.88"/>
    <col customWidth="1" min="6" max="6" width="40.0"/>
    <col customWidth="1" min="7" max="7" width="37.63"/>
    <col customWidth="1" min="8" max="26" width="8.88"/>
  </cols>
  <sheetData>
    <row r="1" ht="26.25" customHeight="1">
      <c r="A1" s="89">
        <v>2.0</v>
      </c>
      <c r="B1" s="89"/>
      <c r="C1" s="90" t="s">
        <v>107</v>
      </c>
      <c r="D1" s="89" t="s">
        <v>44</v>
      </c>
      <c r="E1" s="89" t="s">
        <v>108</v>
      </c>
      <c r="F1" s="89" t="s">
        <v>45</v>
      </c>
      <c r="G1" s="91" t="s">
        <v>46</v>
      </c>
    </row>
    <row r="2" ht="26.25" customHeight="1">
      <c r="A2" s="92">
        <v>2.1</v>
      </c>
      <c r="B2" s="92" t="s">
        <v>109</v>
      </c>
      <c r="C2" s="93" t="s">
        <v>110</v>
      </c>
      <c r="D2" s="94" t="s">
        <v>63</v>
      </c>
      <c r="E2" s="95">
        <f t="shared" ref="E2:E3" si="1">IF(D2="Yes", 1, IF(D2="No", 0, ""))</f>
      </c>
      <c r="F2" s="96"/>
      <c r="G2" s="97"/>
    </row>
    <row r="3" ht="26.25" customHeight="1">
      <c r="A3" s="92">
        <v>2.2</v>
      </c>
      <c r="B3" s="92" t="s">
        <v>111</v>
      </c>
      <c r="C3" s="93" t="s">
        <v>112</v>
      </c>
      <c r="D3" s="94" t="s">
        <v>63</v>
      </c>
      <c r="E3" s="95">
        <f t="shared" si="1"/>
      </c>
      <c r="F3" s="96"/>
      <c r="G3" s="97"/>
    </row>
    <row r="4" ht="26.25" customHeight="1">
      <c r="A4" s="98">
        <v>2.3</v>
      </c>
      <c r="B4" s="92"/>
      <c r="C4" s="99" t="s">
        <v>113</v>
      </c>
      <c r="D4" s="100"/>
      <c r="E4" s="101"/>
      <c r="F4" s="101"/>
      <c r="G4" s="102" t="s">
        <v>114</v>
      </c>
    </row>
    <row r="5" ht="26.25" customHeight="1">
      <c r="A5" s="40"/>
      <c r="B5" s="92" t="s">
        <v>115</v>
      </c>
      <c r="C5" s="103" t="s">
        <v>116</v>
      </c>
      <c r="D5" s="94" t="s">
        <v>63</v>
      </c>
      <c r="E5" s="95">
        <f t="shared" ref="E5:E7" si="2">IF(D5="Yes", 1, IF(D5="No", 0, ""))</f>
      </c>
      <c r="F5" s="96"/>
      <c r="G5" s="97"/>
    </row>
    <row r="6" ht="33.75" customHeight="1">
      <c r="A6" s="40"/>
      <c r="B6" s="92" t="s">
        <v>117</v>
      </c>
      <c r="C6" s="103" t="s">
        <v>118</v>
      </c>
      <c r="D6" s="94" t="s">
        <v>63</v>
      </c>
      <c r="E6" s="95">
        <f t="shared" si="2"/>
      </c>
      <c r="F6" s="104"/>
      <c r="G6" s="97"/>
    </row>
    <row r="7" ht="36.75" customHeight="1">
      <c r="A7" s="43"/>
      <c r="B7" s="92" t="s">
        <v>119</v>
      </c>
      <c r="C7" s="103" t="s">
        <v>120</v>
      </c>
      <c r="D7" s="94" t="s">
        <v>63</v>
      </c>
      <c r="E7" s="95">
        <f t="shared" si="2"/>
      </c>
      <c r="F7" s="96"/>
      <c r="G7" s="97"/>
    </row>
    <row r="8" ht="80.25" customHeight="1">
      <c r="A8" s="92">
        <v>2.4</v>
      </c>
      <c r="B8" s="92" t="s">
        <v>121</v>
      </c>
      <c r="C8" s="93" t="s">
        <v>122</v>
      </c>
      <c r="D8" s="94" t="s">
        <v>63</v>
      </c>
      <c r="E8" s="95">
        <f>IF(D8="1 - 5 years",1,"")</f>
      </c>
      <c r="F8" s="105"/>
      <c r="G8" s="97" t="s">
        <v>123</v>
      </c>
    </row>
    <row r="9" ht="39.75" customHeight="1">
      <c r="A9" s="92">
        <v>2.5</v>
      </c>
      <c r="B9" s="92" t="s">
        <v>124</v>
      </c>
      <c r="C9" s="93" t="s">
        <v>125</v>
      </c>
      <c r="D9" s="94" t="s">
        <v>63</v>
      </c>
      <c r="E9" s="95">
        <f>IF(D9="Yes", 1, IF(D9="No", 0, ""))</f>
      </c>
      <c r="F9" s="96"/>
      <c r="G9" s="97"/>
    </row>
    <row r="10" ht="39.75" customHeight="1">
      <c r="A10" s="92">
        <v>2.6</v>
      </c>
      <c r="B10" s="92" t="s">
        <v>126</v>
      </c>
      <c r="C10" s="93" t="s">
        <v>127</v>
      </c>
      <c r="D10" s="94"/>
      <c r="E10" s="95" t="s">
        <v>98</v>
      </c>
      <c r="F10" s="96"/>
      <c r="G10" s="97"/>
    </row>
    <row r="11" ht="26.25" customHeight="1">
      <c r="A11" s="92">
        <v>2.7</v>
      </c>
      <c r="B11" s="92" t="s">
        <v>128</v>
      </c>
      <c r="C11" s="93" t="s">
        <v>129</v>
      </c>
      <c r="D11" s="106"/>
      <c r="E11" s="95" t="s">
        <v>98</v>
      </c>
      <c r="F11" s="107"/>
      <c r="G11" s="97" t="s">
        <v>130</v>
      </c>
    </row>
    <row r="12" ht="26.25" customHeight="1">
      <c r="A12" s="92">
        <v>2.8</v>
      </c>
      <c r="B12" s="92" t="s">
        <v>131</v>
      </c>
      <c r="C12" s="93" t="s">
        <v>132</v>
      </c>
      <c r="D12" s="108"/>
      <c r="E12" s="95" t="s">
        <v>98</v>
      </c>
      <c r="F12" s="107"/>
      <c r="G12" s="97" t="s">
        <v>130</v>
      </c>
    </row>
    <row r="13" ht="36.75" customHeight="1">
      <c r="A13" s="92">
        <v>2.9</v>
      </c>
      <c r="B13" s="92" t="s">
        <v>133</v>
      </c>
      <c r="C13" s="93" t="s">
        <v>134</v>
      </c>
      <c r="D13" s="108"/>
      <c r="E13" s="95" t="s">
        <v>98</v>
      </c>
      <c r="F13" s="107"/>
      <c r="G13" s="97" t="s">
        <v>130</v>
      </c>
    </row>
    <row r="14" ht="41.25" customHeight="1">
      <c r="A14" s="92">
        <v>2.1</v>
      </c>
      <c r="B14" s="92" t="s">
        <v>135</v>
      </c>
      <c r="C14" s="93" t="s">
        <v>136</v>
      </c>
      <c r="D14" s="108"/>
      <c r="E14" s="95" t="s">
        <v>98</v>
      </c>
      <c r="F14" s="107"/>
      <c r="G14" s="97" t="s">
        <v>130</v>
      </c>
    </row>
    <row r="15" ht="41.25" customHeight="1">
      <c r="A15" s="92">
        <v>2.11</v>
      </c>
      <c r="B15" s="92" t="s">
        <v>137</v>
      </c>
      <c r="C15" s="93" t="s">
        <v>138</v>
      </c>
      <c r="D15" s="109">
        <f>D13-D14</f>
      </c>
      <c r="E15" s="95" t="s">
        <v>98</v>
      </c>
      <c r="F15" s="107"/>
      <c r="G15" s="97" t="s">
        <v>130</v>
      </c>
    </row>
    <row r="16" ht="40.5" customHeight="1">
      <c r="A16" s="98">
        <v>2.12</v>
      </c>
      <c r="B16" s="92"/>
      <c r="C16" s="99" t="s">
        <v>139</v>
      </c>
      <c r="D16" s="110" t="s">
        <v>140</v>
      </c>
      <c r="E16" s="111"/>
      <c r="F16" s="111"/>
      <c r="G16" s="102"/>
    </row>
    <row r="17" ht="37.5" customHeight="1">
      <c r="A17" s="40"/>
      <c r="B17" s="92" t="s">
        <v>141</v>
      </c>
      <c r="C17" s="112" t="s">
        <v>142</v>
      </c>
      <c r="D17" s="113"/>
      <c r="E17" s="114">
        <f>IF(COUNTA(D17:D25)=0,"",
 IF(MAX(D17:D25)&gt;65,0,
 IF(MAX(D17:D25)&gt;=50,1,
 2)))</f>
      </c>
      <c r="F17" s="115">
        <f>IF(COUNTA(D17:D25)=0, "",
 IF(MAX(D17:D25)&gt;65,
   " It seems that your YMCA is highly dependent on 1 major source of income. This might pose a significant risk to the sustainability of your YMCA. It is strongly recommended that you aim to diversify your income sources in the next 3–5 years.",
 IF(COUNTIFS(D17:D25, "&gt;=50", D17:D25, "&lt;=65")&gt;0,
   " It seems that your YMCA has a relatively high reliance on a major source of income. In order to reduce potential risks it is recommended that you try to diversify your income sources, if possible.",
 "")
 ))</f>
      </c>
      <c r="G17" s="97"/>
      <c r="H17" s="24"/>
    </row>
    <row r="18" ht="26.25" customHeight="1">
      <c r="A18" s="40"/>
      <c r="B18" s="92" t="s">
        <v>143</v>
      </c>
      <c r="C18" s="112" t="s">
        <v>144</v>
      </c>
      <c r="D18" s="113"/>
      <c r="E18" s="40"/>
      <c r="F18" s="40"/>
      <c r="G18" s="97"/>
    </row>
    <row r="19" ht="26.25" customHeight="1">
      <c r="A19" s="40"/>
      <c r="B19" s="92" t="s">
        <v>145</v>
      </c>
      <c r="C19" s="112" t="s">
        <v>146</v>
      </c>
      <c r="D19" s="113"/>
      <c r="E19" s="40"/>
      <c r="F19" s="40"/>
      <c r="G19" s="97"/>
    </row>
    <row r="20" ht="26.25" customHeight="1">
      <c r="A20" s="40"/>
      <c r="B20" s="92" t="s">
        <v>147</v>
      </c>
      <c r="C20" s="112" t="s">
        <v>148</v>
      </c>
      <c r="D20" s="95"/>
      <c r="E20" s="40"/>
      <c r="F20" s="40"/>
      <c r="G20" s="97"/>
    </row>
    <row r="21" ht="26.25" customHeight="1">
      <c r="A21" s="40"/>
      <c r="B21" s="92" t="s">
        <v>149</v>
      </c>
      <c r="C21" s="112" t="s">
        <v>150</v>
      </c>
      <c r="D21" s="95"/>
      <c r="E21" s="40"/>
      <c r="F21" s="40"/>
      <c r="G21" s="97"/>
    </row>
    <row r="22" ht="26.25" customHeight="1">
      <c r="A22" s="40"/>
      <c r="B22" s="92" t="s">
        <v>151</v>
      </c>
      <c r="C22" s="112" t="s">
        <v>152</v>
      </c>
      <c r="D22" s="113"/>
      <c r="E22" s="40"/>
      <c r="F22" s="40"/>
      <c r="G22" s="97"/>
    </row>
    <row r="23" ht="26.25" customHeight="1">
      <c r="A23" s="40"/>
      <c r="B23" s="92" t="s">
        <v>153</v>
      </c>
      <c r="C23" s="112" t="s">
        <v>154</v>
      </c>
      <c r="D23" s="113"/>
      <c r="E23" s="40"/>
      <c r="F23" s="40"/>
      <c r="G23" s="97"/>
    </row>
    <row r="24" ht="26.25" customHeight="1">
      <c r="A24" s="40"/>
      <c r="B24" s="92" t="s">
        <v>155</v>
      </c>
      <c r="C24" s="112" t="s">
        <v>156</v>
      </c>
      <c r="D24" s="113"/>
      <c r="E24" s="40"/>
      <c r="F24" s="40"/>
      <c r="G24" s="97"/>
    </row>
    <row r="25" ht="26.25" customHeight="1">
      <c r="A25" s="43"/>
      <c r="B25" s="92" t="s">
        <v>157</v>
      </c>
      <c r="C25" s="116" t="s">
        <v>158</v>
      </c>
      <c r="D25" s="95"/>
      <c r="E25" s="43"/>
      <c r="F25" s="43"/>
      <c r="G25" s="97"/>
    </row>
    <row r="26" ht="26.25" customHeight="1">
      <c r="A26" s="98">
        <v>2.13</v>
      </c>
      <c r="B26" s="92"/>
      <c r="C26" s="99" t="s">
        <v>159</v>
      </c>
      <c r="D26" s="110" t="s">
        <v>140</v>
      </c>
      <c r="E26" s="101"/>
      <c r="F26" s="101"/>
      <c r="G26" s="102"/>
    </row>
    <row r="27" ht="26.25" customHeight="1">
      <c r="A27" s="40"/>
      <c r="B27" s="92" t="s">
        <v>160</v>
      </c>
      <c r="C27" s="103" t="s">
        <v>161</v>
      </c>
      <c r="D27" s="117"/>
      <c r="E27" s="114">
        <f>IF(D28 ="","", IF(D28&gt;75,0,1))</f>
      </c>
      <c r="F27" s="118">
        <f>IF(D28&gt;75,
"It seems that your YMCA has a high reliance on international sources of funds. Depending on your context, this can pose a risk. Please consider if diversification of funding sources can be feasible for your YMCA in the next 3–5 years.",
"")</f>
      </c>
      <c r="G27" s="97"/>
    </row>
    <row r="28" ht="26.25" customHeight="1">
      <c r="A28" s="43"/>
      <c r="B28" s="92" t="s">
        <v>162</v>
      </c>
      <c r="C28" s="103" t="s">
        <v>163</v>
      </c>
      <c r="D28" s="119"/>
      <c r="E28" s="43"/>
      <c r="F28" s="43"/>
      <c r="G28" s="97"/>
    </row>
    <row r="29" ht="36.75" customHeight="1">
      <c r="A29" s="98">
        <v>2.14</v>
      </c>
      <c r="B29" s="92"/>
      <c r="C29" s="99" t="s">
        <v>164</v>
      </c>
      <c r="D29" s="110" t="s">
        <v>140</v>
      </c>
      <c r="E29" s="101"/>
      <c r="F29" s="101"/>
      <c r="G29" s="102"/>
    </row>
    <row r="30" ht="26.25" customHeight="1">
      <c r="A30" s="40"/>
      <c r="B30" s="92" t="s">
        <v>165</v>
      </c>
      <c r="C30" s="103" t="s">
        <v>166</v>
      </c>
      <c r="D30" s="113"/>
      <c r="E30" s="114">
        <f>IF(D30="", "", IF(D30&lt;85, 1, 0))</f>
      </c>
      <c r="F30" s="96">
        <f>IF(D30&gt;85,
  " It seems that your YMCA is highly reliant on restricted funding. It is recommended that you aim to achieve a higher proportion of unrestricted funding for your YMCA " &amp;
  "in the next 3–5 years in order to increase your sustainability, independence and build a stronger reserve.",
"")</f>
      </c>
      <c r="G30" s="97"/>
      <c r="H30" s="24"/>
    </row>
    <row r="31" ht="26.25" customHeight="1">
      <c r="A31" s="120"/>
      <c r="B31" s="92" t="s">
        <v>167</v>
      </c>
      <c r="C31" s="103" t="s">
        <v>168</v>
      </c>
      <c r="D31" s="113"/>
      <c r="E31" s="43"/>
      <c r="F31" s="96"/>
      <c r="G31" s="97"/>
    </row>
    <row r="32" ht="26.25" customHeight="1">
      <c r="A32" s="98">
        <v>2.15</v>
      </c>
      <c r="B32" s="92" t="s">
        <v>169</v>
      </c>
      <c r="C32" s="93" t="s">
        <v>170</v>
      </c>
      <c r="D32" s="94" t="s">
        <v>63</v>
      </c>
      <c r="E32" s="121">
        <f>IF(D32="Yes", 0, IF(D32="No", 1, ""))</f>
      </c>
      <c r="F32" s="96"/>
      <c r="G32" s="97"/>
      <c r="H32" s="24"/>
    </row>
    <row r="33" ht="26.25" customHeight="1">
      <c r="A33" s="120"/>
      <c r="B33" s="92" t="s">
        <v>171</v>
      </c>
      <c r="C33" s="93" t="s">
        <v>172</v>
      </c>
      <c r="D33" s="94" t="s">
        <v>63</v>
      </c>
      <c r="E33" s="121">
        <f>IF(D33="Yes", 1, IF(D33="No", 0, ""))</f>
      </c>
      <c r="F33" s="96"/>
      <c r="G33" s="97"/>
    </row>
    <row r="34" ht="26.25" customHeight="1">
      <c r="A34" s="98">
        <v>2.16</v>
      </c>
      <c r="B34" s="92"/>
      <c r="C34" s="99" t="s">
        <v>173</v>
      </c>
      <c r="D34" s="110" t="s">
        <v>140</v>
      </c>
      <c r="E34" s="101"/>
      <c r="F34" s="122"/>
      <c r="G34" s="102"/>
    </row>
    <row r="35" ht="26.25" customHeight="1">
      <c r="A35" s="40"/>
      <c r="B35" s="92" t="s">
        <v>174</v>
      </c>
      <c r="C35" s="112" t="s">
        <v>175</v>
      </c>
      <c r="D35" s="113"/>
      <c r="E35" s="118" t="s">
        <v>98</v>
      </c>
      <c r="F35" s="97"/>
      <c r="G35" s="97"/>
    </row>
    <row r="36" ht="26.25" customHeight="1">
      <c r="A36" s="40"/>
      <c r="B36" s="92" t="s">
        <v>176</v>
      </c>
      <c r="C36" s="112" t="s">
        <v>177</v>
      </c>
      <c r="D36" s="113"/>
      <c r="E36" s="40"/>
      <c r="F36" s="97"/>
      <c r="G36" s="97"/>
    </row>
    <row r="37" ht="26.25" customHeight="1">
      <c r="A37" s="40"/>
      <c r="B37" s="92" t="s">
        <v>178</v>
      </c>
      <c r="C37" s="112" t="s">
        <v>179</v>
      </c>
      <c r="D37" s="113"/>
      <c r="E37" s="40"/>
      <c r="F37" s="97"/>
      <c r="G37" s="97"/>
    </row>
    <row r="38" ht="26.25" customHeight="1">
      <c r="A38" s="40"/>
      <c r="B38" s="92" t="s">
        <v>180</v>
      </c>
      <c r="C38" s="112" t="s">
        <v>181</v>
      </c>
      <c r="D38" s="113"/>
      <c r="E38" s="40"/>
      <c r="F38" s="97"/>
      <c r="G38" s="97"/>
    </row>
    <row r="39" ht="26.25" customHeight="1">
      <c r="A39" s="40"/>
      <c r="B39" s="92" t="s">
        <v>182</v>
      </c>
      <c r="C39" s="112" t="s">
        <v>183</v>
      </c>
      <c r="D39" s="113"/>
      <c r="E39" s="40"/>
      <c r="F39" s="97"/>
      <c r="G39" s="97"/>
    </row>
    <row r="40" ht="26.25" customHeight="1">
      <c r="A40" s="40"/>
      <c r="B40" s="92" t="s">
        <v>184</v>
      </c>
      <c r="C40" s="103" t="s">
        <v>185</v>
      </c>
      <c r="D40" s="113"/>
      <c r="E40" s="40"/>
      <c r="F40" s="97"/>
      <c r="G40" s="97"/>
    </row>
    <row r="41" ht="26.25" customHeight="1">
      <c r="A41" s="40"/>
      <c r="B41" s="92" t="s">
        <v>186</v>
      </c>
      <c r="C41" s="112" t="s">
        <v>187</v>
      </c>
      <c r="D41" s="95"/>
      <c r="E41" s="40"/>
      <c r="F41" s="97"/>
      <c r="G41" s="97"/>
    </row>
    <row r="42" ht="26.25" customHeight="1">
      <c r="A42" s="40"/>
      <c r="B42" s="92" t="s">
        <v>188</v>
      </c>
      <c r="C42" s="112" t="s">
        <v>189</v>
      </c>
      <c r="D42" s="113"/>
      <c r="E42" s="40"/>
      <c r="F42" s="97"/>
      <c r="G42" s="97"/>
    </row>
    <row r="43" ht="26.25" customHeight="1">
      <c r="A43" s="43"/>
      <c r="B43" s="92" t="s">
        <v>190</v>
      </c>
      <c r="C43" s="112" t="s">
        <v>191</v>
      </c>
      <c r="D43" s="113"/>
      <c r="E43" s="43"/>
      <c r="F43" s="97"/>
      <c r="G43" s="97"/>
    </row>
    <row r="44" ht="26.25" customHeight="1">
      <c r="A44" s="92">
        <v>2.17</v>
      </c>
      <c r="B44" s="92" t="s">
        <v>192</v>
      </c>
      <c r="C44" s="93" t="s">
        <v>193</v>
      </c>
      <c r="D44" s="94" t="s">
        <v>63</v>
      </c>
      <c r="E44" s="95">
        <f>IF(D44="Yes", 3, IF(D44="No", 0, ""))</f>
      </c>
      <c r="F44" s="96"/>
      <c r="G44" s="97"/>
    </row>
    <row r="45" ht="42.0" customHeight="1">
      <c r="A45" s="98">
        <v>2.18</v>
      </c>
      <c r="B45" s="92" t="s">
        <v>194</v>
      </c>
      <c r="C45" s="93" t="s">
        <v>195</v>
      </c>
      <c r="D45" s="94" t="s">
        <v>63</v>
      </c>
      <c r="E45" s="95">
        <f>IF(D45="Yes", 1, IF(D45="No", 0, ""))</f>
      </c>
      <c r="F45" s="96"/>
      <c r="G45" s="97"/>
    </row>
    <row r="46" ht="39.0" customHeight="1">
      <c r="A46" s="40"/>
      <c r="B46" s="92" t="s">
        <v>196</v>
      </c>
      <c r="C46" s="93" t="s">
        <v>197</v>
      </c>
      <c r="D46" s="95"/>
      <c r="E46" s="95" t="s">
        <v>98</v>
      </c>
      <c r="F46" s="96"/>
      <c r="G46" s="97"/>
    </row>
    <row r="47" ht="26.25" customHeight="1">
      <c r="A47" s="43"/>
      <c r="B47" s="92" t="s">
        <v>198</v>
      </c>
      <c r="C47" s="93" t="s">
        <v>199</v>
      </c>
      <c r="D47" s="95"/>
      <c r="E47" s="95">
        <f>IF(D47&gt;6, 1, "")</f>
      </c>
      <c r="F47" s="123"/>
      <c r="G47" s="97"/>
    </row>
    <row r="48" ht="26.25" customHeight="1">
      <c r="A48" s="98">
        <v>2.19</v>
      </c>
      <c r="B48" s="92" t="s">
        <v>200</v>
      </c>
      <c r="C48" s="93" t="s">
        <v>201</v>
      </c>
      <c r="D48" s="94" t="s">
        <v>63</v>
      </c>
      <c r="E48" s="95">
        <f>IF(D48="Yes", 0, IF(D48="No", 1, ""))</f>
      </c>
      <c r="F48" s="124"/>
      <c r="G48" s="97"/>
    </row>
    <row r="49" ht="26.25" customHeight="1">
      <c r="A49" s="40"/>
      <c r="B49" s="92" t="s">
        <v>202</v>
      </c>
      <c r="C49" s="93" t="s">
        <v>203</v>
      </c>
      <c r="D49" s="108"/>
      <c r="E49" s="95" t="s">
        <v>98</v>
      </c>
      <c r="F49" s="96"/>
      <c r="G49" s="97"/>
    </row>
    <row r="50" ht="26.25" customHeight="1">
      <c r="A50" s="40"/>
      <c r="B50" s="92" t="s">
        <v>204</v>
      </c>
      <c r="C50" s="93" t="s">
        <v>205</v>
      </c>
      <c r="D50" s="94" t="s">
        <v>63</v>
      </c>
      <c r="E50" s="118">
        <f>IF(AND(D50="No", D51="No"), 1, 0)</f>
      </c>
      <c r="F50" s="124"/>
      <c r="G50" s="97"/>
    </row>
    <row r="51" ht="26.25" customHeight="1">
      <c r="A51" s="43"/>
      <c r="B51" s="92" t="s">
        <v>206</v>
      </c>
      <c r="C51" s="93" t="s">
        <v>207</v>
      </c>
      <c r="D51" s="94" t="s">
        <v>63</v>
      </c>
      <c r="E51" s="43"/>
      <c r="F51" s="124"/>
      <c r="G51" s="97"/>
    </row>
    <row r="52" ht="78.75" customHeight="1">
      <c r="A52" s="92">
        <v>2.19</v>
      </c>
      <c r="B52" s="92" t="s">
        <v>208</v>
      </c>
      <c r="C52" s="93" t="s">
        <v>209</v>
      </c>
      <c r="D52" s="95"/>
      <c r="E52" s="95"/>
      <c r="F52" s="125"/>
      <c r="G52" s="97" t="s">
        <v>210</v>
      </c>
    </row>
    <row r="53" ht="81.75" customHeight="1">
      <c r="A53" s="98">
        <v>2.2</v>
      </c>
      <c r="B53" s="92" t="s">
        <v>211</v>
      </c>
      <c r="C53" s="93" t="s">
        <v>212</v>
      </c>
      <c r="D53" s="94" t="s">
        <v>63</v>
      </c>
      <c r="E53" s="95" t="s">
        <v>98</v>
      </c>
      <c r="F53" s="96"/>
      <c r="G53" s="97" t="s">
        <v>213</v>
      </c>
    </row>
    <row r="54" ht="26.25" customHeight="1">
      <c r="A54" s="43"/>
      <c r="B54" s="92" t="s">
        <v>214</v>
      </c>
      <c r="C54" s="93" t="s">
        <v>215</v>
      </c>
      <c r="D54" s="95"/>
      <c r="E54" s="95" t="s">
        <v>98</v>
      </c>
      <c r="F54" s="96"/>
      <c r="G54" s="97"/>
    </row>
    <row r="55" ht="26.25" customHeight="1">
      <c r="A55" s="76"/>
      <c r="B55" s="76"/>
      <c r="C55" s="76"/>
      <c r="D55" s="76"/>
      <c r="E55" s="76"/>
      <c r="F55" s="76"/>
    </row>
    <row r="56" ht="26.25" customHeight="1">
      <c r="A56" s="126" t="s">
        <v>216</v>
      </c>
      <c r="B56" s="127"/>
      <c r="C56" s="128"/>
      <c r="D56" s="129">
        <f>SUM(E2:E54) &amp; " (" &amp; TEXT(SUM(E2:E54)/20, "0.00%") &amp; " compared to maximum score)"</f>
      </c>
      <c r="E56" s="127"/>
      <c r="F56" s="128"/>
      <c r="G56" s="97"/>
    </row>
    <row r="57" ht="26.25" customHeight="1">
      <c r="A57" s="126" t="s">
        <v>217</v>
      </c>
      <c r="B57" s="127"/>
      <c r="C57" s="128"/>
      <c r="D57" s="130" t="s">
        <v>218</v>
      </c>
      <c r="E57" s="127"/>
      <c r="F57" s="128"/>
      <c r="G57" s="97"/>
    </row>
    <row r="58" ht="26.25" customHeight="1">
      <c r="A58" s="126" t="s">
        <v>219</v>
      </c>
      <c r="B58" s="127"/>
      <c r="C58" s="128"/>
      <c r="D58" s="131"/>
      <c r="E58" s="97"/>
      <c r="F58" s="97"/>
      <c r="G58" s="97"/>
    </row>
    <row r="59" ht="26.25" customHeight="1">
      <c r="A59" s="132" t="s">
        <v>220</v>
      </c>
      <c r="B59" s="133"/>
      <c r="C59" s="134"/>
      <c r="D59" s="131"/>
      <c r="E59" s="97"/>
      <c r="F59" s="97"/>
      <c r="G59" s="97"/>
    </row>
    <row r="60" ht="26.25" customHeight="1">
      <c r="A60" s="135"/>
      <c r="B60" s="136"/>
      <c r="C60" s="137"/>
      <c r="D60" s="97"/>
      <c r="E60" s="97"/>
      <c r="F60" s="97"/>
      <c r="G60" s="97"/>
    </row>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sheetData>
  <mergeCells count="22">
    <mergeCell ref="E27:E28"/>
    <mergeCell ref="E30:E31"/>
    <mergeCell ref="E35:E43"/>
    <mergeCell ref="E50:E51"/>
    <mergeCell ref="D56:F56"/>
    <mergeCell ref="D57:F57"/>
    <mergeCell ref="A4:A7"/>
    <mergeCell ref="A16:A25"/>
    <mergeCell ref="E17:E25"/>
    <mergeCell ref="F17:F25"/>
    <mergeCell ref="A26:A28"/>
    <mergeCell ref="F27:F28"/>
    <mergeCell ref="A29:A31"/>
    <mergeCell ref="A58:C58"/>
    <mergeCell ref="A59:C60"/>
    <mergeCell ref="A32:A33"/>
    <mergeCell ref="A34:A43"/>
    <mergeCell ref="A45:A47"/>
    <mergeCell ref="A48:A51"/>
    <mergeCell ref="A53:A54"/>
    <mergeCell ref="A56:C56"/>
    <mergeCell ref="A57:C57"/>
  </mergeCells>
  <conditionalFormatting sqref="C12">
    <cfRule type="expression" dxfId="1" priority="1" stopIfTrue="1">
      <formula>AND(ISNUMBER(D11), ISNUMBER(D12), D12 &gt; D11)</formula>
    </cfRule>
  </conditionalFormatting>
  <conditionalFormatting sqref="C14">
    <cfRule type="expression" dxfId="1" priority="2">
      <formula>AND(ISNUMBER(D13), ISNUMBER(D14), D14 &gt; D13)</formula>
    </cfRule>
  </conditionalFormatting>
  <conditionalFormatting sqref="E17:E25">
    <cfRule type="expression" dxfId="1" priority="3">
      <formula>AND(COUNTIFS(D17:D25, "&gt;=50%", D17:D25, "&lt;=60%")&gt;0, MAX(D17:D25)&lt;=65%)</formula>
    </cfRule>
  </conditionalFormatting>
  <conditionalFormatting sqref="E17:E25">
    <cfRule type="expression" dxfId="2" priority="4">
      <formula>MAX(D17:D25)&gt;65%</formula>
    </cfRule>
  </conditionalFormatting>
  <conditionalFormatting sqref="E17:E25">
    <cfRule type="expression" dxfId="3" priority="5">
      <formula>AND(COUNTA(E25:E1048575)=ROWS(E25:E1048575), MAX(E25:E1048575)&lt;=50)</formula>
    </cfRule>
  </conditionalFormatting>
  <conditionalFormatting sqref="E17:E25">
    <cfRule type="expression" dxfId="1" priority="6">
      <formula>AND(COUNTA(E25:E1048575)=ROWS(E25:E1048575), MAX(E25:E1048575)&gt;50, MAX(E25:E1048575)&lt;=65)</formula>
    </cfRule>
  </conditionalFormatting>
  <conditionalFormatting sqref="E17:E25">
    <cfRule type="expression" dxfId="2" priority="7">
      <formula>AND(COUNTA(E25:E1048575)=ROWS(E25:E1048575), MAX(E25:E1048575)&gt;65)</formula>
    </cfRule>
  </conditionalFormatting>
  <conditionalFormatting sqref="E27:E28">
    <cfRule type="expression" dxfId="1" priority="8">
      <formula>D27&gt;=0.75</formula>
    </cfRule>
  </conditionalFormatting>
  <conditionalFormatting sqref="E30:E31">
    <cfRule type="expression" dxfId="1" priority="9">
      <formula>D30&gt;=0.85</formula>
    </cfRule>
  </conditionalFormatting>
  <dataValidations>
    <dataValidation type="list" allowBlank="1" showErrorMessage="1" sqref="D8">
      <formula1>"Please choose an option,Not Applicable,Less than 1 year,1 - 5 years,More than 5 years"</formula1>
    </dataValidation>
    <dataValidation type="decimal" allowBlank="1" showErrorMessage="1" sqref="F11">
      <formula1>0.0</formula1>
      <formula2>9.99999999999999E19</formula2>
    </dataValidation>
    <dataValidation type="list" allowBlank="1" showErrorMessage="1" sqref="D5:D7 D50:D51">
      <formula1>"Please choose an option,Yes,No,Not Applicable"</formula1>
    </dataValidation>
    <dataValidation type="decimal" allowBlank="1" showInputMessage="1" showErrorMessage="1" prompt="Number only" sqref="D11:D15 D17:D25 D27:D28 D30:D31 D35:D43 D46:D47 D49 D52 D54">
      <formula1>1.0</formula1>
      <formula2>9.99999999999999E17</formula2>
    </dataValidation>
    <dataValidation type="list" allowBlank="1" showErrorMessage="1" sqref="D2:D3 D9 D32:D33 D44:D45 D48 D53">
      <formula1>"Please choose an option,Yes,No"</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hidden="1" min="2" max="2" width="16.38"/>
    <col customWidth="1" min="3" max="3" width="56.63"/>
    <col customWidth="1" min="4" max="4" width="34.88"/>
    <col customWidth="1" min="5" max="5" width="12.63"/>
    <col customWidth="1" min="6" max="26" width="34.88"/>
  </cols>
  <sheetData>
    <row r="1" ht="23.25" customHeight="1">
      <c r="A1" s="31">
        <v>3.0</v>
      </c>
      <c r="B1" s="31"/>
      <c r="C1" s="138" t="s">
        <v>221</v>
      </c>
      <c r="D1" s="31" t="s">
        <v>44</v>
      </c>
      <c r="E1" s="31" t="s">
        <v>108</v>
      </c>
      <c r="F1" s="31" t="s">
        <v>45</v>
      </c>
      <c r="G1" s="139" t="s">
        <v>46</v>
      </c>
    </row>
    <row r="2" ht="23.25" customHeight="1">
      <c r="A2" s="140">
        <v>3.1</v>
      </c>
      <c r="B2" s="141" t="s">
        <v>222</v>
      </c>
      <c r="C2" s="142" t="s">
        <v>223</v>
      </c>
      <c r="D2" s="45" t="s">
        <v>63</v>
      </c>
      <c r="E2" s="143" t="s">
        <v>98</v>
      </c>
      <c r="F2" s="144"/>
      <c r="G2" s="145" t="s">
        <v>224</v>
      </c>
    </row>
    <row r="3" ht="23.25" customHeight="1">
      <c r="A3" s="43"/>
      <c r="B3" s="141" t="s">
        <v>225</v>
      </c>
      <c r="C3" s="142" t="s">
        <v>226</v>
      </c>
      <c r="D3" s="143"/>
      <c r="E3" s="143" t="s">
        <v>98</v>
      </c>
      <c r="F3" s="144"/>
      <c r="G3" s="144"/>
    </row>
    <row r="4" ht="37.5" customHeight="1">
      <c r="A4" s="141">
        <v>3.2</v>
      </c>
      <c r="B4" s="141" t="s">
        <v>227</v>
      </c>
      <c r="C4" s="142" t="s">
        <v>228</v>
      </c>
      <c r="D4" s="146"/>
      <c r="E4" s="143" t="s">
        <v>98</v>
      </c>
      <c r="F4" s="144"/>
      <c r="G4" s="145" t="s">
        <v>229</v>
      </c>
    </row>
    <row r="5" ht="45.75" customHeight="1">
      <c r="A5" s="141">
        <v>3.3</v>
      </c>
      <c r="B5" s="141"/>
      <c r="C5" s="147" t="s">
        <v>230</v>
      </c>
      <c r="D5" s="147"/>
      <c r="E5" s="147"/>
      <c r="F5" s="147"/>
      <c r="G5" s="147"/>
    </row>
    <row r="6" ht="23.25" customHeight="1">
      <c r="A6" s="141"/>
      <c r="B6" s="141" t="s">
        <v>231</v>
      </c>
      <c r="C6" s="148" t="s">
        <v>232</v>
      </c>
      <c r="D6" s="149"/>
      <c r="E6" s="143" t="s">
        <v>98</v>
      </c>
      <c r="F6" s="144"/>
      <c r="G6" s="144"/>
    </row>
    <row r="7" ht="23.25" customHeight="1">
      <c r="A7" s="141"/>
      <c r="B7" s="141" t="s">
        <v>233</v>
      </c>
      <c r="C7" s="148" t="s">
        <v>234</v>
      </c>
      <c r="D7" s="149"/>
      <c r="E7" s="143" t="s">
        <v>98</v>
      </c>
      <c r="F7" s="144"/>
      <c r="G7" s="144"/>
    </row>
    <row r="8" ht="23.25" customHeight="1">
      <c r="A8" s="140">
        <v>3.4</v>
      </c>
      <c r="B8" s="141"/>
      <c r="C8" s="147" t="s">
        <v>235</v>
      </c>
      <c r="D8" s="147"/>
      <c r="E8" s="147"/>
      <c r="F8" s="147"/>
      <c r="G8" s="147"/>
    </row>
    <row r="9" ht="23.25" customHeight="1">
      <c r="A9" s="40"/>
      <c r="B9" s="141" t="s">
        <v>236</v>
      </c>
      <c r="C9" s="150" t="s">
        <v>237</v>
      </c>
      <c r="D9" s="149"/>
      <c r="E9" s="143" t="s">
        <v>98</v>
      </c>
      <c r="F9" s="144"/>
      <c r="G9" s="144"/>
    </row>
    <row r="10" ht="23.25" customHeight="1">
      <c r="A10" s="40"/>
      <c r="B10" s="141" t="s">
        <v>238</v>
      </c>
      <c r="C10" s="150" t="s">
        <v>239</v>
      </c>
      <c r="D10" s="149"/>
      <c r="E10" s="143" t="s">
        <v>98</v>
      </c>
      <c r="F10" s="144"/>
      <c r="G10" s="144"/>
    </row>
    <row r="11" ht="23.25" customHeight="1">
      <c r="A11" s="40"/>
      <c r="B11" s="141" t="s">
        <v>240</v>
      </c>
      <c r="C11" s="150" t="s">
        <v>241</v>
      </c>
      <c r="D11" s="38"/>
      <c r="E11" s="143" t="s">
        <v>98</v>
      </c>
      <c r="F11" s="144"/>
      <c r="G11" s="144"/>
    </row>
    <row r="12" ht="23.25" customHeight="1">
      <c r="A12" s="40"/>
      <c r="B12" s="141" t="s">
        <v>242</v>
      </c>
      <c r="C12" s="150" t="s">
        <v>243</v>
      </c>
      <c r="D12" s="149"/>
      <c r="E12" s="143" t="s">
        <v>98</v>
      </c>
      <c r="F12" s="144"/>
      <c r="G12" s="144"/>
    </row>
    <row r="13" ht="23.25" customHeight="1">
      <c r="A13" s="43"/>
      <c r="B13" s="141" t="s">
        <v>244</v>
      </c>
      <c r="C13" s="150" t="s">
        <v>245</v>
      </c>
      <c r="D13" s="149"/>
      <c r="E13" s="143" t="s">
        <v>98</v>
      </c>
      <c r="F13" s="144"/>
      <c r="G13" s="144"/>
    </row>
    <row r="14">
      <c r="A14" s="140">
        <v>3.5</v>
      </c>
      <c r="B14" s="141" t="s">
        <v>246</v>
      </c>
      <c r="C14" s="142" t="s">
        <v>247</v>
      </c>
      <c r="D14" s="45" t="s">
        <v>63</v>
      </c>
      <c r="E14" s="143">
        <f>IF(D14="Yes", 1, IF(D14="No", 0, ""))</f>
      </c>
      <c r="F14" s="151"/>
      <c r="G14" s="145" t="s">
        <v>248</v>
      </c>
    </row>
    <row r="15" ht="35.25" customHeight="1">
      <c r="A15" s="43"/>
      <c r="B15" s="141" t="s">
        <v>249</v>
      </c>
      <c r="C15" s="142" t="s">
        <v>250</v>
      </c>
      <c r="D15" s="152"/>
      <c r="E15" s="143" t="s">
        <v>98</v>
      </c>
      <c r="F15" s="151"/>
      <c r="G15" s="144"/>
    </row>
    <row r="16" ht="42.75" customHeight="1">
      <c r="A16" s="141">
        <v>3.6</v>
      </c>
      <c r="B16" s="141" t="s">
        <v>251</v>
      </c>
      <c r="C16" s="142" t="s">
        <v>252</v>
      </c>
      <c r="D16" s="149"/>
      <c r="E16" s="144">
        <f>IF(D16="", "", IF(D16&gt;=5, 0, 1))</f>
      </c>
      <c r="F16" s="144"/>
      <c r="G16" s="145" t="s">
        <v>253</v>
      </c>
    </row>
    <row r="17" ht="39.0" customHeight="1">
      <c r="A17" s="140">
        <v>3.7</v>
      </c>
      <c r="B17" s="141"/>
      <c r="C17" s="147" t="s">
        <v>254</v>
      </c>
      <c r="D17" s="147"/>
      <c r="E17" s="147"/>
      <c r="F17" s="147"/>
      <c r="G17" s="147"/>
    </row>
    <row r="18" ht="23.25" customHeight="1">
      <c r="A18" s="40"/>
      <c r="B18" s="141" t="s">
        <v>255</v>
      </c>
      <c r="C18" s="142" t="s">
        <v>256</v>
      </c>
      <c r="D18" s="45" t="s">
        <v>63</v>
      </c>
      <c r="E18" s="143">
        <f>IF(D18="Yes", 1, IF(D18="No", 0, ""))</f>
      </c>
      <c r="F18" s="144"/>
      <c r="G18" s="144"/>
    </row>
    <row r="19" ht="23.25" customHeight="1">
      <c r="A19" s="40"/>
      <c r="B19" s="141" t="s">
        <v>257</v>
      </c>
      <c r="C19" s="142" t="s">
        <v>258</v>
      </c>
      <c r="D19" s="149"/>
      <c r="E19" s="143" t="s">
        <v>98</v>
      </c>
      <c r="F19" s="144"/>
      <c r="G19" s="144"/>
      <c r="H19" s="24"/>
    </row>
    <row r="20" ht="23.25" customHeight="1">
      <c r="A20" s="40"/>
      <c r="B20" s="141" t="s">
        <v>259</v>
      </c>
      <c r="C20" s="142" t="s">
        <v>260</v>
      </c>
      <c r="D20" s="45" t="s">
        <v>63</v>
      </c>
      <c r="E20" s="143">
        <f>IF(D20="Yes", 1, IF(D20="No", 0, ""))</f>
      </c>
      <c r="F20" s="144"/>
      <c r="G20" s="144"/>
    </row>
    <row r="21" ht="23.25" customHeight="1">
      <c r="A21" s="43"/>
      <c r="B21" s="141" t="s">
        <v>261</v>
      </c>
      <c r="C21" s="142" t="s">
        <v>258</v>
      </c>
      <c r="D21" s="149"/>
      <c r="E21" s="143" t="s">
        <v>98</v>
      </c>
      <c r="F21" s="144"/>
      <c r="G21" s="144"/>
      <c r="H21" s="24"/>
    </row>
    <row r="22" ht="39.75" customHeight="1">
      <c r="A22" s="153">
        <v>3.8</v>
      </c>
      <c r="B22" s="141" t="s">
        <v>259</v>
      </c>
      <c r="C22" s="154" t="s">
        <v>262</v>
      </c>
      <c r="D22" s="45" t="s">
        <v>63</v>
      </c>
      <c r="E22" s="155">
        <f>IF(D22="Yes", 1, IF(D22="No", 0, ""))</f>
      </c>
      <c r="F22" s="156"/>
      <c r="G22" s="144"/>
    </row>
    <row r="23" ht="23.25" customHeight="1">
      <c r="A23" s="141">
        <v>3.9</v>
      </c>
      <c r="B23" s="141" t="s">
        <v>261</v>
      </c>
      <c r="C23" s="142" t="s">
        <v>263</v>
      </c>
      <c r="D23" s="45" t="s">
        <v>63</v>
      </c>
      <c r="E23" s="143">
        <f>IF(D23="2 or more times",1,
 IF(OR(D23="None",D23="1 time"),0,
 ""))</f>
      </c>
      <c r="F23" s="144"/>
      <c r="G23" s="144"/>
    </row>
    <row r="24" ht="45.75" customHeight="1">
      <c r="A24" s="141">
        <v>3.1</v>
      </c>
      <c r="B24" s="141" t="s">
        <v>264</v>
      </c>
      <c r="C24" s="142" t="s">
        <v>265</v>
      </c>
      <c r="D24" s="45" t="s">
        <v>63</v>
      </c>
      <c r="E24" s="143">
        <f t="shared" ref="E24:E25" si="1">IF(D24="Yes", 1, IF(D24="No", 0, ""))</f>
      </c>
      <c r="F24" s="151"/>
      <c r="G24" s="144"/>
    </row>
    <row r="25" ht="36.0" customHeight="1">
      <c r="A25" s="141">
        <v>3.11</v>
      </c>
      <c r="B25" s="157" t="s">
        <v>266</v>
      </c>
      <c r="C25" s="142" t="s">
        <v>267</v>
      </c>
      <c r="D25" s="45" t="s">
        <v>63</v>
      </c>
      <c r="E25" s="143">
        <f t="shared" si="1"/>
      </c>
      <c r="F25" s="144"/>
      <c r="G25" s="144"/>
    </row>
    <row r="26">
      <c r="A26" s="140">
        <v>3.12</v>
      </c>
      <c r="B26" s="157" t="s">
        <v>268</v>
      </c>
      <c r="C26" s="142" t="s">
        <v>269</v>
      </c>
      <c r="D26" s="45" t="s">
        <v>63</v>
      </c>
      <c r="E26" s="143" t="s">
        <v>98</v>
      </c>
      <c r="F26" s="158"/>
      <c r="G26" s="145" t="s">
        <v>270</v>
      </c>
    </row>
    <row r="27">
      <c r="A27" s="40"/>
      <c r="B27" s="157" t="s">
        <v>271</v>
      </c>
      <c r="C27" s="142" t="s">
        <v>272</v>
      </c>
      <c r="D27" s="45" t="s">
        <v>63</v>
      </c>
      <c r="E27" s="143">
        <f t="shared" ref="E27:E28" si="2">IF(D27="Yes", 1, IF(D27="No", 0, ""))</f>
      </c>
      <c r="F27" s="158"/>
      <c r="G27" s="144"/>
    </row>
    <row r="28" ht="31.5" customHeight="1">
      <c r="A28" s="43"/>
      <c r="B28" s="157" t="s">
        <v>273</v>
      </c>
      <c r="C28" s="142" t="s">
        <v>274</v>
      </c>
      <c r="D28" s="45" t="s">
        <v>63</v>
      </c>
      <c r="E28" s="143">
        <f t="shared" si="2"/>
      </c>
      <c r="F28" s="159"/>
      <c r="G28" s="144"/>
    </row>
    <row r="29" ht="33.75" customHeight="1">
      <c r="A29" s="140">
        <v>3.13</v>
      </c>
      <c r="B29" s="157"/>
      <c r="C29" s="147" t="s">
        <v>275</v>
      </c>
      <c r="D29" s="147"/>
      <c r="E29" s="147"/>
      <c r="F29" s="147"/>
      <c r="G29" s="147"/>
    </row>
    <row r="30" ht="23.25" customHeight="1">
      <c r="A30" s="40"/>
      <c r="B30" s="157" t="s">
        <v>276</v>
      </c>
      <c r="C30" s="148" t="s">
        <v>277</v>
      </c>
      <c r="D30" s="45" t="s">
        <v>63</v>
      </c>
      <c r="E30" s="143">
        <f t="shared" ref="E30:E31" si="3">IF(D30="Yes", 1, IF(D30="No", 0, ""))</f>
      </c>
      <c r="F30" s="151"/>
      <c r="G30" s="144"/>
    </row>
    <row r="31" ht="23.25" customHeight="1">
      <c r="A31" s="43"/>
      <c r="B31" s="157" t="s">
        <v>278</v>
      </c>
      <c r="C31" s="148" t="s">
        <v>279</v>
      </c>
      <c r="D31" s="45" t="s">
        <v>63</v>
      </c>
      <c r="E31" s="143">
        <f t="shared" si="3"/>
      </c>
      <c r="F31" s="151"/>
      <c r="G31" s="144"/>
    </row>
    <row r="32" ht="23.25" customHeight="1">
      <c r="A32" s="27"/>
      <c r="B32" s="27"/>
      <c r="C32" s="27"/>
      <c r="D32" s="27"/>
      <c r="E32" s="160"/>
      <c r="F32" s="160"/>
    </row>
    <row r="33" ht="23.25" customHeight="1">
      <c r="A33" s="161" t="s">
        <v>216</v>
      </c>
      <c r="B33" s="127"/>
      <c r="C33" s="128"/>
      <c r="D33" s="162">
        <f>SUM(E14:E31)</f>
      </c>
      <c r="E33" s="127"/>
      <c r="F33" s="128"/>
    </row>
    <row r="34" ht="23.25" customHeight="1">
      <c r="A34" s="161" t="s">
        <v>92</v>
      </c>
      <c r="B34" s="127"/>
      <c r="C34" s="128"/>
      <c r="D34" s="163" t="s">
        <v>280</v>
      </c>
      <c r="E34" s="127"/>
      <c r="F34" s="128"/>
    </row>
    <row r="35" ht="23.25" customHeight="1">
      <c r="A35" s="161" t="s">
        <v>219</v>
      </c>
      <c r="B35" s="127"/>
      <c r="C35" s="128"/>
      <c r="D35" s="164" t="s">
        <v>281</v>
      </c>
      <c r="E35" s="127"/>
      <c r="F35" s="128"/>
    </row>
    <row r="36" ht="23.25" customHeight="1">
      <c r="A36" s="165" t="s">
        <v>220</v>
      </c>
      <c r="B36" s="133"/>
      <c r="C36" s="134"/>
      <c r="D36" s="166"/>
      <c r="E36" s="133"/>
      <c r="F36" s="134"/>
    </row>
    <row r="37" ht="23.25" customHeight="1">
      <c r="A37" s="135"/>
      <c r="B37" s="136"/>
      <c r="C37" s="137"/>
      <c r="D37" s="135"/>
      <c r="E37" s="136"/>
      <c r="F37" s="137"/>
    </row>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mergeCells count="14">
    <mergeCell ref="A33:C33"/>
    <mergeCell ref="A34:C34"/>
    <mergeCell ref="A35:C35"/>
    <mergeCell ref="A36:C37"/>
    <mergeCell ref="D34:F34"/>
    <mergeCell ref="D35:F35"/>
    <mergeCell ref="D36:F37"/>
    <mergeCell ref="A2:A3"/>
    <mergeCell ref="A8:A13"/>
    <mergeCell ref="A14:A15"/>
    <mergeCell ref="A17:A21"/>
    <mergeCell ref="A26:A28"/>
    <mergeCell ref="A29:A31"/>
    <mergeCell ref="D33:F33"/>
  </mergeCells>
  <dataValidations>
    <dataValidation type="list" allowBlank="1" showErrorMessage="1" sqref="D23">
      <formula1>"Please choose an option,None,1 time,2 or more times"</formula1>
    </dataValidation>
    <dataValidation type="list" allowBlank="1" showErrorMessage="1" sqref="D2">
      <formula1>"Please choose an option,General Assembly,Board of Directors,Other"</formula1>
    </dataValidation>
    <dataValidation type="list" allowBlank="1" showErrorMessage="1" sqref="D14 D18 D20">
      <formula1>"Please choose an option,Yes,No,Not Applicable"</formula1>
    </dataValidation>
    <dataValidation type="decimal" allowBlank="1" showInputMessage="1" showErrorMessage="1" prompt="Number only" sqref="D6:D7 D9:D13 D16 D19 D21">
      <formula1>1.0</formula1>
      <formula2>9.99999999999999E17</formula2>
    </dataValidation>
    <dataValidation type="list" allowBlank="1" showErrorMessage="1" sqref="D22 D24:D28 D30:D31">
      <formula1>"Please choose an option,Yes,No"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13"/>
    <col customWidth="1" hidden="1" min="2" max="2" width="17.5"/>
    <col customWidth="1" min="3" max="3" width="45.88"/>
    <col customWidth="1" min="4" max="4" width="25.0"/>
    <col customWidth="1" min="5" max="6" width="20.88"/>
    <col customWidth="1" min="7" max="7" width="40.13"/>
    <col customWidth="1" min="8" max="26" width="31.88"/>
  </cols>
  <sheetData>
    <row r="1" ht="34.5" customHeight="1">
      <c r="A1" s="89">
        <v>4.0</v>
      </c>
      <c r="B1" s="89"/>
      <c r="C1" s="90" t="s">
        <v>282</v>
      </c>
      <c r="D1" s="89" t="s">
        <v>44</v>
      </c>
      <c r="E1" s="89" t="s">
        <v>108</v>
      </c>
      <c r="F1" s="89" t="s">
        <v>45</v>
      </c>
      <c r="G1" s="91" t="s">
        <v>46</v>
      </c>
    </row>
    <row r="2">
      <c r="A2" s="92">
        <v>4.1</v>
      </c>
      <c r="B2" s="92" t="s">
        <v>283</v>
      </c>
      <c r="C2" s="93" t="s">
        <v>284</v>
      </c>
      <c r="D2" s="94" t="s">
        <v>63</v>
      </c>
      <c r="E2" s="95">
        <f>IF(D2="Yes", 1, IF(D2="No", 0, ""))</f>
      </c>
      <c r="F2" s="107"/>
      <c r="G2" s="167"/>
    </row>
    <row r="3">
      <c r="A3" s="92">
        <v>4.2</v>
      </c>
      <c r="B3" s="92" t="s">
        <v>285</v>
      </c>
      <c r="C3" s="93" t="s">
        <v>286</v>
      </c>
      <c r="D3" s="94" t="s">
        <v>63</v>
      </c>
      <c r="E3" s="95" t="s">
        <v>98</v>
      </c>
      <c r="F3" s="107"/>
      <c r="G3" s="167" t="s">
        <v>287</v>
      </c>
    </row>
    <row r="4" ht="23.25" customHeight="1">
      <c r="A4" s="98">
        <v>4.3</v>
      </c>
      <c r="B4" s="92"/>
      <c r="C4" s="168" t="s">
        <v>288</v>
      </c>
      <c r="D4" s="168"/>
      <c r="E4" s="168"/>
      <c r="F4" s="168"/>
      <c r="G4" s="168"/>
      <c r="H4" s="24"/>
    </row>
    <row r="5">
      <c r="A5" s="40"/>
      <c r="B5" s="92" t="s">
        <v>289</v>
      </c>
      <c r="C5" s="103" t="s">
        <v>290</v>
      </c>
      <c r="D5" s="94" t="s">
        <v>63</v>
      </c>
      <c r="E5" s="95">
        <f t="shared" ref="E5:E23" si="1">IF(D5="Yes", 1, IF(D5="No", 0, ""))</f>
      </c>
      <c r="F5" s="96"/>
      <c r="G5" s="167"/>
    </row>
    <row r="6">
      <c r="A6" s="40"/>
      <c r="B6" s="92" t="s">
        <v>291</v>
      </c>
      <c r="C6" s="103" t="s">
        <v>292</v>
      </c>
      <c r="D6" s="94" t="s">
        <v>63</v>
      </c>
      <c r="E6" s="95">
        <f t="shared" si="1"/>
      </c>
      <c r="F6" s="96"/>
      <c r="G6" s="167" t="s">
        <v>293</v>
      </c>
    </row>
    <row r="7">
      <c r="A7" s="40"/>
      <c r="B7" s="92" t="s">
        <v>294</v>
      </c>
      <c r="C7" s="103" t="s">
        <v>295</v>
      </c>
      <c r="D7" s="94" t="s">
        <v>63</v>
      </c>
      <c r="E7" s="95">
        <f t="shared" si="1"/>
      </c>
      <c r="F7" s="104"/>
      <c r="G7" s="167" t="s">
        <v>296</v>
      </c>
    </row>
    <row r="8">
      <c r="A8" s="40"/>
      <c r="B8" s="92" t="s">
        <v>297</v>
      </c>
      <c r="C8" s="103" t="s">
        <v>298</v>
      </c>
      <c r="D8" s="94" t="s">
        <v>63</v>
      </c>
      <c r="E8" s="95">
        <f t="shared" si="1"/>
      </c>
      <c r="F8" s="104"/>
      <c r="G8" s="167"/>
    </row>
    <row r="9">
      <c r="A9" s="40"/>
      <c r="B9" s="92" t="s">
        <v>299</v>
      </c>
      <c r="C9" s="103" t="s">
        <v>300</v>
      </c>
      <c r="D9" s="94" t="s">
        <v>63</v>
      </c>
      <c r="E9" s="95">
        <f t="shared" si="1"/>
      </c>
      <c r="F9" s="96"/>
      <c r="G9" s="167" t="s">
        <v>301</v>
      </c>
    </row>
    <row r="10" ht="22.5" customHeight="1">
      <c r="A10" s="40"/>
      <c r="B10" s="92" t="s">
        <v>302</v>
      </c>
      <c r="C10" s="103" t="s">
        <v>303</v>
      </c>
      <c r="D10" s="94" t="s">
        <v>63</v>
      </c>
      <c r="E10" s="95">
        <f t="shared" si="1"/>
      </c>
      <c r="F10" s="96"/>
      <c r="G10" s="167"/>
    </row>
    <row r="11" ht="23.25" customHeight="1">
      <c r="A11" s="40"/>
      <c r="B11" s="92" t="s">
        <v>304</v>
      </c>
      <c r="C11" s="103" t="s">
        <v>305</v>
      </c>
      <c r="D11" s="94" t="s">
        <v>63</v>
      </c>
      <c r="E11" s="95">
        <f t="shared" si="1"/>
      </c>
      <c r="F11" s="96"/>
      <c r="G11" s="167"/>
    </row>
    <row r="12">
      <c r="A12" s="40"/>
      <c r="B12" s="92" t="s">
        <v>306</v>
      </c>
      <c r="C12" s="103" t="s">
        <v>307</v>
      </c>
      <c r="D12" s="94" t="s">
        <v>63</v>
      </c>
      <c r="E12" s="95">
        <f t="shared" si="1"/>
      </c>
      <c r="F12" s="104"/>
      <c r="G12" s="167" t="s">
        <v>308</v>
      </c>
    </row>
    <row r="13" ht="23.25" customHeight="1">
      <c r="A13" s="40"/>
      <c r="B13" s="92" t="s">
        <v>309</v>
      </c>
      <c r="C13" s="103" t="s">
        <v>310</v>
      </c>
      <c r="D13" s="94" t="s">
        <v>63</v>
      </c>
      <c r="E13" s="95">
        <f t="shared" si="1"/>
      </c>
      <c r="F13" s="104"/>
      <c r="G13" s="167"/>
    </row>
    <row r="14" ht="23.25" customHeight="1">
      <c r="A14" s="40"/>
      <c r="B14" s="92" t="s">
        <v>311</v>
      </c>
      <c r="C14" s="103" t="s">
        <v>312</v>
      </c>
      <c r="D14" s="94" t="s">
        <v>63</v>
      </c>
      <c r="E14" s="95">
        <f t="shared" si="1"/>
      </c>
      <c r="F14" s="104"/>
      <c r="G14" s="167"/>
    </row>
    <row r="15">
      <c r="A15" s="40"/>
      <c r="B15" s="92" t="s">
        <v>313</v>
      </c>
      <c r="C15" s="103" t="s">
        <v>314</v>
      </c>
      <c r="D15" s="94" t="s">
        <v>63</v>
      </c>
      <c r="E15" s="95">
        <f t="shared" si="1"/>
      </c>
      <c r="F15" s="104"/>
      <c r="G15" s="167" t="s">
        <v>315</v>
      </c>
    </row>
    <row r="16" ht="23.25" customHeight="1">
      <c r="A16" s="40"/>
      <c r="B16" s="92" t="s">
        <v>316</v>
      </c>
      <c r="C16" s="103" t="s">
        <v>317</v>
      </c>
      <c r="D16" s="94" t="s">
        <v>63</v>
      </c>
      <c r="E16" s="95">
        <f t="shared" si="1"/>
      </c>
      <c r="F16" s="104"/>
      <c r="G16" s="167"/>
    </row>
    <row r="17" ht="23.25" customHeight="1">
      <c r="A17" s="40"/>
      <c r="B17" s="92" t="s">
        <v>318</v>
      </c>
      <c r="C17" s="103" t="s">
        <v>319</v>
      </c>
      <c r="D17" s="131" t="s">
        <v>63</v>
      </c>
      <c r="E17" s="95">
        <f t="shared" si="1"/>
      </c>
      <c r="F17" s="96"/>
      <c r="G17" s="167"/>
    </row>
    <row r="18" ht="23.25" customHeight="1">
      <c r="A18" s="40"/>
      <c r="B18" s="92" t="s">
        <v>320</v>
      </c>
      <c r="C18" s="103" t="s">
        <v>321</v>
      </c>
      <c r="D18" s="94" t="s">
        <v>63</v>
      </c>
      <c r="E18" s="95">
        <f t="shared" si="1"/>
      </c>
      <c r="F18" s="104"/>
      <c r="G18" s="167"/>
    </row>
    <row r="19" ht="23.25" customHeight="1">
      <c r="A19" s="40"/>
      <c r="B19" s="92" t="s">
        <v>322</v>
      </c>
      <c r="C19" s="103" t="s">
        <v>323</v>
      </c>
      <c r="D19" s="94" t="s">
        <v>63</v>
      </c>
      <c r="E19" s="95">
        <f t="shared" si="1"/>
      </c>
      <c r="F19" s="169"/>
      <c r="G19" s="167"/>
    </row>
    <row r="20" ht="36.75" customHeight="1">
      <c r="A20" s="40"/>
      <c r="B20" s="92" t="s">
        <v>324</v>
      </c>
      <c r="C20" s="103" t="s">
        <v>325</v>
      </c>
      <c r="D20" s="94" t="s">
        <v>63</v>
      </c>
      <c r="E20" s="95">
        <f t="shared" si="1"/>
      </c>
      <c r="F20" s="104"/>
      <c r="G20" s="167"/>
    </row>
    <row r="21" ht="42.75" customHeight="1">
      <c r="A21" s="40"/>
      <c r="B21" s="92" t="s">
        <v>326</v>
      </c>
      <c r="C21" s="103" t="s">
        <v>327</v>
      </c>
      <c r="D21" s="94" t="s">
        <v>63</v>
      </c>
      <c r="E21" s="95">
        <f t="shared" si="1"/>
      </c>
      <c r="F21" s="104"/>
      <c r="G21" s="167"/>
    </row>
    <row r="22" ht="23.25" customHeight="1">
      <c r="A22" s="40"/>
      <c r="B22" s="92" t="s">
        <v>328</v>
      </c>
      <c r="C22" s="103" t="s">
        <v>329</v>
      </c>
      <c r="D22" s="94" t="s">
        <v>63</v>
      </c>
      <c r="E22" s="95">
        <f t="shared" si="1"/>
      </c>
      <c r="F22" s="104"/>
      <c r="G22" s="167"/>
    </row>
    <row r="23" ht="23.25" customHeight="1">
      <c r="A23" s="40"/>
      <c r="B23" s="92" t="s">
        <v>330</v>
      </c>
      <c r="C23" s="103" t="s">
        <v>331</v>
      </c>
      <c r="D23" s="94" t="s">
        <v>63</v>
      </c>
      <c r="E23" s="95">
        <f t="shared" si="1"/>
      </c>
      <c r="F23" s="104"/>
      <c r="G23" s="167"/>
    </row>
    <row r="24" ht="36.0" customHeight="1">
      <c r="A24" s="43"/>
      <c r="B24" s="92" t="s">
        <v>332</v>
      </c>
      <c r="C24" s="103" t="s">
        <v>333</v>
      </c>
      <c r="D24" s="104"/>
      <c r="E24" s="96"/>
      <c r="F24" s="96"/>
      <c r="G24" s="167"/>
    </row>
    <row r="25" ht="23.25" customHeight="1">
      <c r="A25" s="27"/>
      <c r="B25" s="27"/>
      <c r="C25" s="27"/>
      <c r="D25" s="27"/>
      <c r="E25" s="27"/>
      <c r="F25" s="28"/>
    </row>
    <row r="26" ht="23.25" customHeight="1">
      <c r="A26" s="126" t="s">
        <v>216</v>
      </c>
      <c r="B26" s="127"/>
      <c r="C26" s="128"/>
      <c r="D26" s="170">
        <f>SUM(E2:E23)</f>
      </c>
      <c r="E26" s="127"/>
      <c r="F26" s="128"/>
    </row>
    <row r="27" ht="23.25" customHeight="1">
      <c r="A27" s="126" t="s">
        <v>92</v>
      </c>
      <c r="B27" s="127"/>
      <c r="C27" s="128"/>
      <c r="D27" s="130" t="s">
        <v>218</v>
      </c>
      <c r="E27" s="127"/>
      <c r="F27" s="128"/>
    </row>
    <row r="28" ht="23.25" customHeight="1">
      <c r="A28" s="126" t="s">
        <v>219</v>
      </c>
      <c r="B28" s="127"/>
      <c r="C28" s="128"/>
      <c r="D28" s="171" t="s">
        <v>281</v>
      </c>
      <c r="E28" s="127"/>
      <c r="F28" s="128"/>
    </row>
    <row r="29" ht="23.25" customHeight="1">
      <c r="A29" s="132" t="s">
        <v>220</v>
      </c>
      <c r="B29" s="133"/>
      <c r="C29" s="134"/>
      <c r="D29" s="172"/>
      <c r="E29" s="173"/>
      <c r="F29" s="174"/>
    </row>
    <row r="30" ht="23.25" customHeight="1">
      <c r="A30" s="135"/>
      <c r="B30" s="136"/>
      <c r="C30" s="137"/>
      <c r="D30" s="175"/>
      <c r="E30" s="176"/>
      <c r="F30" s="177"/>
    </row>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mergeCells count="9">
    <mergeCell ref="A4:A24"/>
    <mergeCell ref="A26:C26"/>
    <mergeCell ref="D26:F26"/>
    <mergeCell ref="A27:C27"/>
    <mergeCell ref="D27:F27"/>
    <mergeCell ref="A28:C28"/>
    <mergeCell ref="D28:F28"/>
    <mergeCell ref="A29:C30"/>
    <mergeCell ref="D29:F30"/>
  </mergeCells>
  <dataValidations>
    <dataValidation type="list" allowBlank="1" showErrorMessage="1" sqref="D2:D3 D5:D23">
      <formula1>"Please choose an option,Yes,No"</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hidden="1" min="2" max="2" width="13.5"/>
    <col customWidth="1" min="3" max="3" width="48.38"/>
    <col customWidth="1" min="4" max="4" width="29.38"/>
    <col customWidth="1" min="5" max="5" width="18.13"/>
    <col customWidth="1" min="6" max="6" width="33.63"/>
    <col customWidth="1" min="7" max="7" width="41.0"/>
    <col customWidth="1" min="8" max="26" width="8.88"/>
  </cols>
  <sheetData>
    <row r="1" ht="54.75" customHeight="1">
      <c r="A1" s="31">
        <v>5.0</v>
      </c>
      <c r="B1" s="31"/>
      <c r="C1" s="32" t="s">
        <v>334</v>
      </c>
      <c r="D1" s="32" t="s">
        <v>44</v>
      </c>
      <c r="E1" s="178" t="s">
        <v>108</v>
      </c>
      <c r="F1" s="178" t="s">
        <v>45</v>
      </c>
      <c r="G1" s="178" t="s">
        <v>46</v>
      </c>
    </row>
    <row r="2">
      <c r="A2" s="140">
        <v>5.1</v>
      </c>
      <c r="B2" s="179"/>
      <c r="C2" s="180" t="s">
        <v>335</v>
      </c>
      <c r="D2" s="181"/>
      <c r="E2" s="182"/>
      <c r="F2" s="182"/>
      <c r="G2" s="183" t="s">
        <v>336</v>
      </c>
    </row>
    <row r="3">
      <c r="A3" s="40"/>
      <c r="B3" s="179" t="s">
        <v>337</v>
      </c>
      <c r="C3" s="36" t="s">
        <v>338</v>
      </c>
      <c r="D3" s="45" t="s">
        <v>63</v>
      </c>
      <c r="E3" s="143">
        <f t="shared" ref="E3:E4" si="1">IF(D3="Yes", 1, IF(D3="No", 0, ""))</f>
      </c>
      <c r="F3" s="48"/>
      <c r="G3" s="183" t="s">
        <v>339</v>
      </c>
    </row>
    <row r="4">
      <c r="A4" s="43"/>
      <c r="B4" s="179" t="s">
        <v>340</v>
      </c>
      <c r="C4" s="36" t="s">
        <v>341</v>
      </c>
      <c r="D4" s="45" t="s">
        <v>63</v>
      </c>
      <c r="E4" s="143">
        <f t="shared" si="1"/>
      </c>
      <c r="F4" s="48"/>
      <c r="G4" s="183" t="s">
        <v>342</v>
      </c>
    </row>
    <row r="5">
      <c r="A5" s="140">
        <v>5.2</v>
      </c>
      <c r="B5" s="179"/>
      <c r="C5" s="180" t="s">
        <v>343</v>
      </c>
      <c r="D5" s="180"/>
      <c r="E5" s="180"/>
      <c r="F5" s="180" t="s">
        <v>344</v>
      </c>
      <c r="G5" s="183"/>
      <c r="H5" s="24"/>
    </row>
    <row r="6">
      <c r="A6" s="40"/>
      <c r="B6" s="179" t="s">
        <v>345</v>
      </c>
      <c r="C6" s="51" t="s">
        <v>346</v>
      </c>
      <c r="D6" s="45" t="s">
        <v>63</v>
      </c>
      <c r="E6" s="143">
        <f t="shared" ref="E6:E9" si="2">IF(D6="Yes", 1, IF(D6="No", 0, ""))</f>
      </c>
      <c r="F6" s="48"/>
      <c r="G6" s="183" t="s">
        <v>347</v>
      </c>
    </row>
    <row r="7">
      <c r="A7" s="43"/>
      <c r="B7" s="179" t="s">
        <v>348</v>
      </c>
      <c r="C7" s="51" t="s">
        <v>349</v>
      </c>
      <c r="D7" s="45" t="s">
        <v>63</v>
      </c>
      <c r="E7" s="143">
        <f t="shared" si="2"/>
      </c>
      <c r="F7" s="184"/>
      <c r="G7" s="183" t="s">
        <v>350</v>
      </c>
    </row>
    <row r="8">
      <c r="A8" s="141">
        <v>5.3</v>
      </c>
      <c r="B8" s="179" t="s">
        <v>351</v>
      </c>
      <c r="C8" s="36" t="s">
        <v>352</v>
      </c>
      <c r="D8" s="45" t="s">
        <v>63</v>
      </c>
      <c r="E8" s="143">
        <f t="shared" si="2"/>
      </c>
      <c r="F8" s="185"/>
      <c r="G8" s="183" t="s">
        <v>353</v>
      </c>
    </row>
    <row r="9">
      <c r="A9" s="186">
        <v>5.4</v>
      </c>
      <c r="B9" s="179" t="s">
        <v>354</v>
      </c>
      <c r="C9" s="44" t="s">
        <v>355</v>
      </c>
      <c r="D9" s="45" t="s">
        <v>63</v>
      </c>
      <c r="E9" s="143">
        <f t="shared" si="2"/>
      </c>
      <c r="F9" s="185"/>
      <c r="G9" s="183" t="s">
        <v>356</v>
      </c>
    </row>
    <row r="10">
      <c r="A10" s="43"/>
      <c r="B10" s="179" t="s">
        <v>357</v>
      </c>
      <c r="C10" s="36" t="s">
        <v>358</v>
      </c>
      <c r="D10" s="48"/>
      <c r="E10" s="143" t="s">
        <v>98</v>
      </c>
      <c r="F10" s="48"/>
      <c r="G10" s="183"/>
    </row>
    <row r="11">
      <c r="A11" s="153">
        <v>5.5</v>
      </c>
      <c r="B11" s="179" t="s">
        <v>359</v>
      </c>
      <c r="C11" s="36" t="s">
        <v>360</v>
      </c>
      <c r="D11" s="149"/>
      <c r="E11" s="143" t="s">
        <v>98</v>
      </c>
      <c r="F11" s="48"/>
      <c r="G11" s="183"/>
    </row>
    <row r="12" ht="26.25" customHeight="1">
      <c r="A12" s="187"/>
      <c r="B12" s="187"/>
      <c r="C12" s="187"/>
      <c r="D12" s="187"/>
      <c r="E12" s="187"/>
      <c r="F12" s="187"/>
    </row>
    <row r="13" ht="26.25" customHeight="1">
      <c r="A13" s="188"/>
      <c r="B13" s="188"/>
      <c r="C13" s="27"/>
      <c r="D13" s="27"/>
      <c r="E13" s="27"/>
      <c r="F13" s="28"/>
    </row>
    <row r="14" ht="26.25" customHeight="1">
      <c r="A14" s="161" t="s">
        <v>216</v>
      </c>
      <c r="B14" s="127"/>
      <c r="C14" s="128"/>
      <c r="D14" s="189">
        <f>SUM(E3:E9)</f>
      </c>
      <c r="E14" s="127"/>
      <c r="F14" s="128"/>
    </row>
    <row r="15" ht="26.25" customHeight="1">
      <c r="A15" s="161" t="s">
        <v>92</v>
      </c>
      <c r="B15" s="127"/>
      <c r="C15" s="128"/>
      <c r="D15" s="163" t="s">
        <v>361</v>
      </c>
      <c r="E15" s="127"/>
      <c r="F15" s="128"/>
    </row>
    <row r="16" ht="26.25" customHeight="1">
      <c r="A16" s="161" t="s">
        <v>219</v>
      </c>
      <c r="B16" s="127"/>
      <c r="C16" s="128"/>
      <c r="D16" s="164" t="s">
        <v>281</v>
      </c>
      <c r="E16" s="127"/>
      <c r="F16" s="128"/>
    </row>
    <row r="17" ht="26.25" customHeight="1">
      <c r="A17" s="165" t="s">
        <v>220</v>
      </c>
      <c r="B17" s="133"/>
      <c r="C17" s="134"/>
      <c r="D17" s="190"/>
      <c r="E17" s="173"/>
      <c r="F17" s="174"/>
    </row>
    <row r="18" ht="26.25" customHeight="1">
      <c r="A18" s="135"/>
      <c r="B18" s="136"/>
      <c r="C18" s="137"/>
      <c r="D18" s="175"/>
      <c r="E18" s="176"/>
      <c r="F18" s="177"/>
    </row>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sheetData>
  <mergeCells count="11">
    <mergeCell ref="A16:C16"/>
    <mergeCell ref="D16:F16"/>
    <mergeCell ref="A17:C18"/>
    <mergeCell ref="D17:F18"/>
    <mergeCell ref="A2:A4"/>
    <mergeCell ref="A5:A7"/>
    <mergeCell ref="A9:A10"/>
    <mergeCell ref="A14:C14"/>
    <mergeCell ref="D14:F14"/>
    <mergeCell ref="A15:C15"/>
    <mergeCell ref="D15:F15"/>
  </mergeCells>
  <dataValidations>
    <dataValidation type="decimal" allowBlank="1" showInputMessage="1" showErrorMessage="1" prompt="Number only" sqref="D11">
      <formula1>1.0</formula1>
      <formula2>9.99999999999999E17</formula2>
    </dataValidation>
    <dataValidation type="list" allowBlank="1" showErrorMessage="1" sqref="D3:D4 D6:D9">
      <formula1>"Please choose an option,Yes,No"</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6.88"/>
    <col customWidth="1" hidden="1" min="2" max="2" width="16.88"/>
    <col customWidth="1" min="3" max="3" width="55.0"/>
    <col customWidth="1" min="4" max="4" width="36.63"/>
    <col customWidth="1" min="5" max="5" width="14.13"/>
    <col customWidth="1" min="6" max="6" width="37.63"/>
    <col customWidth="1" min="7" max="26" width="8.88"/>
  </cols>
  <sheetData>
    <row r="1" ht="47.25" customHeight="1">
      <c r="A1" s="191">
        <v>6.0</v>
      </c>
      <c r="B1" s="191"/>
      <c r="C1" s="90" t="s">
        <v>362</v>
      </c>
      <c r="D1" s="89" t="s">
        <v>44</v>
      </c>
      <c r="E1" s="89" t="s">
        <v>108</v>
      </c>
      <c r="F1" s="89" t="s">
        <v>45</v>
      </c>
    </row>
    <row r="2">
      <c r="A2" s="98">
        <v>6.1</v>
      </c>
      <c r="B2" s="192" t="s">
        <v>363</v>
      </c>
      <c r="C2" s="193" t="s">
        <v>364</v>
      </c>
      <c r="D2" s="94" t="s">
        <v>63</v>
      </c>
      <c r="E2" s="95">
        <f>IF(D2="Yes", 3, IF(D2="No", 0, ""))</f>
      </c>
      <c r="F2" s="96"/>
    </row>
    <row r="3">
      <c r="A3" s="43"/>
      <c r="B3" s="192" t="s">
        <v>365</v>
      </c>
      <c r="C3" s="193" t="s">
        <v>366</v>
      </c>
      <c r="D3" s="194"/>
      <c r="E3" s="95" t="s">
        <v>98</v>
      </c>
      <c r="F3" s="96"/>
    </row>
    <row r="4" ht="26.25" customHeight="1">
      <c r="A4" s="98">
        <v>6.2</v>
      </c>
      <c r="B4" s="192"/>
      <c r="C4" s="195" t="s">
        <v>367</v>
      </c>
      <c r="D4" s="196"/>
      <c r="E4" s="196"/>
      <c r="F4" s="196"/>
    </row>
    <row r="5" ht="26.25" customHeight="1">
      <c r="A5" s="40"/>
      <c r="B5" s="192" t="s">
        <v>368</v>
      </c>
      <c r="C5" s="197" t="s">
        <v>369</v>
      </c>
      <c r="D5" s="94" t="s">
        <v>63</v>
      </c>
      <c r="E5" s="95">
        <f t="shared" ref="E5:E9" si="1">IF(D5="Yes", 1, IF(D5="No", 0, ""))</f>
      </c>
      <c r="F5" s="96"/>
      <c r="G5" s="24"/>
    </row>
    <row r="6" ht="26.25" customHeight="1">
      <c r="A6" s="40"/>
      <c r="B6" s="192" t="s">
        <v>370</v>
      </c>
      <c r="C6" s="197" t="s">
        <v>256</v>
      </c>
      <c r="D6" s="94" t="s">
        <v>63</v>
      </c>
      <c r="E6" s="95">
        <f t="shared" si="1"/>
      </c>
      <c r="F6" s="96"/>
    </row>
    <row r="7" ht="26.25" customHeight="1">
      <c r="A7" s="40"/>
      <c r="B7" s="192" t="s">
        <v>371</v>
      </c>
      <c r="C7" s="197" t="s">
        <v>372</v>
      </c>
      <c r="D7" s="94" t="s">
        <v>63</v>
      </c>
      <c r="E7" s="95">
        <f t="shared" si="1"/>
      </c>
      <c r="F7" s="96"/>
    </row>
    <row r="8" ht="26.25" customHeight="1">
      <c r="A8" s="40"/>
      <c r="B8" s="192" t="s">
        <v>373</v>
      </c>
      <c r="C8" s="197" t="s">
        <v>374</v>
      </c>
      <c r="D8" s="94" t="s">
        <v>63</v>
      </c>
      <c r="E8" s="95">
        <f t="shared" si="1"/>
      </c>
      <c r="F8" s="96"/>
    </row>
    <row r="9">
      <c r="A9" s="40"/>
      <c r="B9" s="192" t="s">
        <v>375</v>
      </c>
      <c r="C9" s="197" t="s">
        <v>376</v>
      </c>
      <c r="D9" s="94" t="s">
        <v>63</v>
      </c>
      <c r="E9" s="95">
        <f t="shared" si="1"/>
      </c>
      <c r="F9" s="96"/>
    </row>
    <row r="10" ht="36.75" customHeight="1">
      <c r="A10" s="43"/>
      <c r="B10" s="192" t="s">
        <v>377</v>
      </c>
      <c r="C10" s="197" t="s">
        <v>378</v>
      </c>
      <c r="D10" s="198"/>
      <c r="E10" s="95" t="s">
        <v>98</v>
      </c>
      <c r="F10" s="124"/>
    </row>
    <row r="11">
      <c r="A11" s="92">
        <v>6.3</v>
      </c>
      <c r="B11" s="192" t="s">
        <v>379</v>
      </c>
      <c r="C11" s="193" t="s">
        <v>380</v>
      </c>
      <c r="D11" s="94" t="s">
        <v>63</v>
      </c>
      <c r="E11" s="95">
        <f t="shared" ref="E11:E13" si="2">IF(D11="Yes", 1, IF(D11="No", 0, ""))</f>
      </c>
      <c r="F11" s="104"/>
    </row>
    <row r="12">
      <c r="A12" s="92">
        <v>6.4</v>
      </c>
      <c r="B12" s="192" t="s">
        <v>381</v>
      </c>
      <c r="C12" s="193" t="s">
        <v>382</v>
      </c>
      <c r="D12" s="94" t="s">
        <v>63</v>
      </c>
      <c r="E12" s="95">
        <f t="shared" si="2"/>
      </c>
      <c r="F12" s="96"/>
    </row>
    <row r="13" ht="26.25" customHeight="1">
      <c r="A13" s="92">
        <v>6.5</v>
      </c>
      <c r="B13" s="192" t="s">
        <v>383</v>
      </c>
      <c r="C13" s="193" t="s">
        <v>384</v>
      </c>
      <c r="D13" s="94" t="s">
        <v>63</v>
      </c>
      <c r="E13" s="95">
        <f t="shared" si="2"/>
      </c>
      <c r="F13" s="96"/>
    </row>
    <row r="14" ht="41.25" customHeight="1">
      <c r="A14" s="98">
        <v>6.6</v>
      </c>
      <c r="B14" s="192"/>
      <c r="C14" s="195" t="s">
        <v>385</v>
      </c>
      <c r="D14" s="195"/>
      <c r="E14" s="195"/>
      <c r="F14" s="195"/>
    </row>
    <row r="15" ht="26.25" customHeight="1">
      <c r="A15" s="40"/>
      <c r="B15" s="192" t="s">
        <v>386</v>
      </c>
      <c r="C15" s="199" t="s">
        <v>387</v>
      </c>
      <c r="D15" s="94" t="s">
        <v>63</v>
      </c>
      <c r="E15" s="118" t="s">
        <v>98</v>
      </c>
      <c r="F15" s="96"/>
    </row>
    <row r="16" ht="26.25" customHeight="1">
      <c r="A16" s="40"/>
      <c r="B16" s="192" t="s">
        <v>388</v>
      </c>
      <c r="C16" s="199" t="s">
        <v>389</v>
      </c>
      <c r="D16" s="94" t="s">
        <v>63</v>
      </c>
      <c r="E16" s="40"/>
      <c r="F16" s="96"/>
    </row>
    <row r="17" ht="26.25" customHeight="1">
      <c r="A17" s="40"/>
      <c r="B17" s="192" t="s">
        <v>390</v>
      </c>
      <c r="C17" s="199" t="s">
        <v>391</v>
      </c>
      <c r="D17" s="94" t="s">
        <v>63</v>
      </c>
      <c r="E17" s="40"/>
      <c r="F17" s="96"/>
    </row>
    <row r="18" ht="26.25" customHeight="1">
      <c r="A18" s="40"/>
      <c r="B18" s="192" t="s">
        <v>392</v>
      </c>
      <c r="C18" s="199" t="s">
        <v>393</v>
      </c>
      <c r="D18" s="94" t="s">
        <v>63</v>
      </c>
      <c r="E18" s="40"/>
      <c r="F18" s="96"/>
    </row>
    <row r="19" ht="26.25" customHeight="1">
      <c r="A19" s="40"/>
      <c r="B19" s="192" t="s">
        <v>394</v>
      </c>
      <c r="C19" s="199" t="s">
        <v>395</v>
      </c>
      <c r="D19" s="94" t="s">
        <v>63</v>
      </c>
      <c r="E19" s="40"/>
      <c r="F19" s="96"/>
    </row>
    <row r="20" ht="26.25" customHeight="1">
      <c r="A20" s="40"/>
      <c r="B20" s="192" t="s">
        <v>396</v>
      </c>
      <c r="C20" s="199" t="s">
        <v>397</v>
      </c>
      <c r="D20" s="94" t="s">
        <v>63</v>
      </c>
      <c r="E20" s="40"/>
      <c r="F20" s="96"/>
    </row>
    <row r="21" ht="26.25" customHeight="1">
      <c r="A21" s="43"/>
      <c r="B21" s="192" t="s">
        <v>398</v>
      </c>
      <c r="C21" s="199" t="s">
        <v>399</v>
      </c>
      <c r="D21" s="94" t="s">
        <v>63</v>
      </c>
      <c r="E21" s="43"/>
      <c r="F21" s="95"/>
    </row>
    <row r="22" ht="101.25" customHeight="1">
      <c r="A22" s="92">
        <v>6.7</v>
      </c>
      <c r="B22" s="192" t="s">
        <v>400</v>
      </c>
      <c r="C22" s="193" t="s">
        <v>401</v>
      </c>
      <c r="D22" s="194"/>
      <c r="E22" s="95" t="s">
        <v>98</v>
      </c>
      <c r="F22" s="96"/>
    </row>
    <row r="23" ht="26.25" customHeight="1">
      <c r="A23" s="92">
        <v>6.8</v>
      </c>
      <c r="B23" s="192" t="s">
        <v>402</v>
      </c>
      <c r="C23" s="193" t="s">
        <v>403</v>
      </c>
      <c r="D23" s="194"/>
      <c r="E23" s="95" t="s">
        <v>98</v>
      </c>
      <c r="F23" s="96"/>
    </row>
    <row r="24">
      <c r="A24" s="92">
        <v>6.9</v>
      </c>
      <c r="B24" s="192" t="s">
        <v>404</v>
      </c>
      <c r="C24" s="193" t="s">
        <v>405</v>
      </c>
      <c r="D24" s="94" t="s">
        <v>63</v>
      </c>
      <c r="E24" s="95">
        <f>IF(D24="Yes", 1, IF(D24="No", 0, ""))</f>
      </c>
      <c r="F24" s="96"/>
    </row>
    <row r="25" ht="52.5" customHeight="1">
      <c r="A25" s="98">
        <v>6.1</v>
      </c>
      <c r="B25" s="192"/>
      <c r="C25" s="195" t="s">
        <v>406</v>
      </c>
      <c r="D25" s="195"/>
      <c r="E25" s="195"/>
      <c r="F25" s="195"/>
    </row>
    <row r="26">
      <c r="A26" s="40"/>
      <c r="B26" s="192" t="s">
        <v>407</v>
      </c>
      <c r="C26" s="199" t="s">
        <v>408</v>
      </c>
      <c r="D26" s="94" t="s">
        <v>63</v>
      </c>
      <c r="E26" s="118" t="s">
        <v>98</v>
      </c>
      <c r="F26" s="96"/>
    </row>
    <row r="27">
      <c r="A27" s="40"/>
      <c r="B27" s="192" t="s">
        <v>409</v>
      </c>
      <c r="C27" s="199" t="s">
        <v>410</v>
      </c>
      <c r="D27" s="94" t="s">
        <v>63</v>
      </c>
      <c r="E27" s="40"/>
      <c r="F27" s="96"/>
    </row>
    <row r="28">
      <c r="A28" s="40"/>
      <c r="B28" s="192" t="s">
        <v>411</v>
      </c>
      <c r="C28" s="199" t="s">
        <v>412</v>
      </c>
      <c r="D28" s="94" t="s">
        <v>63</v>
      </c>
      <c r="E28" s="40"/>
      <c r="F28" s="96"/>
    </row>
    <row r="29">
      <c r="A29" s="40"/>
      <c r="B29" s="192" t="s">
        <v>413</v>
      </c>
      <c r="C29" s="199" t="s">
        <v>414</v>
      </c>
      <c r="D29" s="94" t="s">
        <v>63</v>
      </c>
      <c r="E29" s="40"/>
      <c r="F29" s="96"/>
    </row>
    <row r="30">
      <c r="A30" s="43"/>
      <c r="B30" s="192" t="s">
        <v>415</v>
      </c>
      <c r="C30" s="199" t="s">
        <v>416</v>
      </c>
      <c r="D30" s="94" t="s">
        <v>63</v>
      </c>
      <c r="E30" s="43"/>
      <c r="F30" s="96"/>
    </row>
    <row r="31" ht="26.25" customHeight="1">
      <c r="A31" s="200"/>
      <c r="B31" s="200"/>
      <c r="C31" s="201"/>
      <c r="D31" s="202"/>
      <c r="E31" s="203"/>
      <c r="F31" s="79"/>
    </row>
    <row r="32" ht="26.25" customHeight="1">
      <c r="A32" s="126" t="s">
        <v>216</v>
      </c>
      <c r="B32" s="127"/>
      <c r="C32" s="128"/>
      <c r="D32" s="170">
        <f>SUM(E2:E30)</f>
      </c>
      <c r="E32" s="127"/>
      <c r="F32" s="128"/>
    </row>
    <row r="33" ht="26.25" customHeight="1">
      <c r="A33" s="126" t="s">
        <v>92</v>
      </c>
      <c r="B33" s="127"/>
      <c r="C33" s="128"/>
      <c r="D33" s="130" t="s">
        <v>280</v>
      </c>
      <c r="E33" s="127"/>
      <c r="F33" s="128"/>
    </row>
    <row r="34" ht="26.25" customHeight="1">
      <c r="A34" s="126" t="s">
        <v>219</v>
      </c>
      <c r="B34" s="127"/>
      <c r="C34" s="128"/>
      <c r="D34" s="171" t="s">
        <v>281</v>
      </c>
      <c r="E34" s="127"/>
      <c r="F34" s="128"/>
    </row>
    <row r="35" ht="26.25" customHeight="1">
      <c r="A35" s="132" t="s">
        <v>220</v>
      </c>
      <c r="B35" s="133"/>
      <c r="C35" s="134"/>
      <c r="D35" s="172"/>
      <c r="E35" s="173"/>
      <c r="F35" s="174"/>
    </row>
    <row r="36" ht="26.25" customHeight="1">
      <c r="A36" s="135"/>
      <c r="B36" s="136"/>
      <c r="C36" s="137"/>
      <c r="D36" s="175"/>
      <c r="E36" s="176"/>
      <c r="F36" s="177"/>
    </row>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sheetData>
  <mergeCells count="14">
    <mergeCell ref="A32:C32"/>
    <mergeCell ref="A33:C33"/>
    <mergeCell ref="A34:C34"/>
    <mergeCell ref="A35:C36"/>
    <mergeCell ref="D33:F33"/>
    <mergeCell ref="D34:F34"/>
    <mergeCell ref="D35:F36"/>
    <mergeCell ref="A2:A3"/>
    <mergeCell ref="A4:A10"/>
    <mergeCell ref="A14:A21"/>
    <mergeCell ref="E15:E21"/>
    <mergeCell ref="A25:A30"/>
    <mergeCell ref="E26:E30"/>
    <mergeCell ref="D32:F32"/>
  </mergeCells>
  <dataValidations>
    <dataValidation type="list" allowBlank="1" showErrorMessage="1" sqref="D2 D5:D9 D11:D13 D15:D21 D24 D26:D30">
      <formula1>"Please choose an option,Yes,No"</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4.5"/>
    <col customWidth="1" hidden="1" min="2" max="2" width="14.5"/>
    <col customWidth="1" min="3" max="3" width="59.88"/>
    <col customWidth="1" min="4" max="4" width="22.13"/>
    <col customWidth="1" min="5" max="5" width="12.63"/>
    <col customWidth="1" min="6" max="6" width="34.5"/>
    <col customWidth="1" min="7" max="26" width="8.88"/>
  </cols>
  <sheetData>
    <row r="1" ht="63.75" customHeight="1">
      <c r="A1" s="31">
        <v>7.0</v>
      </c>
      <c r="B1" s="31"/>
      <c r="C1" s="32" t="s">
        <v>417</v>
      </c>
      <c r="D1" s="31" t="s">
        <v>44</v>
      </c>
      <c r="E1" s="31" t="s">
        <v>108</v>
      </c>
      <c r="F1" s="31" t="s">
        <v>45</v>
      </c>
    </row>
    <row r="2">
      <c r="A2" s="204">
        <v>7.1</v>
      </c>
      <c r="B2" s="204" t="s">
        <v>418</v>
      </c>
      <c r="C2" s="36" t="s">
        <v>419</v>
      </c>
      <c r="D2" s="45" t="s">
        <v>63</v>
      </c>
      <c r="E2" s="143">
        <f>IF(D2="Yes", 1, IF(D2="No", 0, ""))</f>
      </c>
      <c r="F2" s="46"/>
    </row>
    <row r="3">
      <c r="A3" s="140">
        <v>7.2</v>
      </c>
      <c r="B3" s="179"/>
      <c r="C3" s="205" t="s">
        <v>420</v>
      </c>
      <c r="D3" s="206"/>
      <c r="E3" s="207"/>
      <c r="F3" s="208"/>
    </row>
    <row r="4">
      <c r="A4" s="40"/>
      <c r="B4" s="204" t="s">
        <v>421</v>
      </c>
      <c r="C4" s="51" t="s">
        <v>422</v>
      </c>
      <c r="D4" s="45" t="s">
        <v>63</v>
      </c>
      <c r="E4" s="143">
        <f t="shared" ref="E4:E5" si="1">IF(D4="Yes", 1, IF(D4="No", 0, ""))</f>
      </c>
      <c r="F4" s="209"/>
    </row>
    <row r="5">
      <c r="A5" s="40"/>
      <c r="B5" s="179" t="s">
        <v>423</v>
      </c>
      <c r="C5" s="51" t="s">
        <v>424</v>
      </c>
      <c r="D5" s="45" t="s">
        <v>63</v>
      </c>
      <c r="E5" s="143">
        <f t="shared" si="1"/>
      </c>
      <c r="F5" s="209"/>
    </row>
    <row r="6">
      <c r="A6" s="43"/>
      <c r="B6" s="204" t="s">
        <v>425</v>
      </c>
      <c r="C6" s="51" t="s">
        <v>426</v>
      </c>
      <c r="D6" s="45" t="s">
        <v>63</v>
      </c>
      <c r="E6" s="143" t="s">
        <v>98</v>
      </c>
      <c r="F6" s="48" t="s">
        <v>427</v>
      </c>
    </row>
    <row r="7">
      <c r="A7" s="140">
        <v>7.3</v>
      </c>
      <c r="B7" s="179" t="s">
        <v>428</v>
      </c>
      <c r="C7" s="36" t="s">
        <v>429</v>
      </c>
      <c r="D7" s="45" t="s">
        <v>63</v>
      </c>
      <c r="E7" s="143">
        <f>IF(D7="Yes", 1, IF(D7="No", 0, ""))</f>
      </c>
      <c r="F7" s="38"/>
    </row>
    <row r="8" ht="48.0" customHeight="1">
      <c r="A8" s="43"/>
      <c r="B8" s="204" t="s">
        <v>430</v>
      </c>
      <c r="C8" s="36" t="s">
        <v>431</v>
      </c>
      <c r="D8" s="152"/>
      <c r="E8" s="143" t="s">
        <v>98</v>
      </c>
      <c r="F8" s="38"/>
    </row>
    <row r="9">
      <c r="A9" s="140">
        <v>7.4</v>
      </c>
      <c r="B9" s="179" t="s">
        <v>432</v>
      </c>
      <c r="C9" s="36" t="s">
        <v>433</v>
      </c>
      <c r="D9" s="45" t="s">
        <v>63</v>
      </c>
      <c r="E9" s="143">
        <f>IF(D9="Yes", 1, IF(D9="No", 0, ""))</f>
      </c>
      <c r="F9" s="38"/>
    </row>
    <row r="10" ht="45.0" customHeight="1">
      <c r="A10" s="43"/>
      <c r="B10" s="204" t="s">
        <v>434</v>
      </c>
      <c r="C10" s="36" t="s">
        <v>431</v>
      </c>
      <c r="D10" s="152"/>
      <c r="E10" s="143" t="s">
        <v>98</v>
      </c>
      <c r="F10" s="38"/>
    </row>
    <row r="11" ht="23.25" customHeight="1">
      <c r="A11" s="27"/>
      <c r="B11" s="27"/>
      <c r="C11" s="27"/>
      <c r="D11" s="27"/>
      <c r="E11" s="27"/>
      <c r="F11" s="28"/>
    </row>
    <row r="12">
      <c r="A12" s="161" t="s">
        <v>216</v>
      </c>
      <c r="B12" s="127"/>
      <c r="C12" s="128"/>
      <c r="D12" s="162">
        <f>SUM(E4:E9)</f>
      </c>
      <c r="E12" s="127"/>
      <c r="F12" s="128"/>
    </row>
    <row r="13">
      <c r="A13" s="161" t="s">
        <v>92</v>
      </c>
      <c r="B13" s="127"/>
      <c r="C13" s="128"/>
      <c r="D13" s="163" t="s">
        <v>435</v>
      </c>
      <c r="E13" s="127"/>
      <c r="F13" s="128"/>
    </row>
    <row r="14">
      <c r="A14" s="161" t="s">
        <v>219</v>
      </c>
      <c r="B14" s="127"/>
      <c r="C14" s="128"/>
      <c r="D14" s="164" t="s">
        <v>281</v>
      </c>
      <c r="E14" s="127"/>
      <c r="F14" s="128"/>
    </row>
    <row r="15" ht="23.25" customHeight="1">
      <c r="A15" s="165" t="s">
        <v>220</v>
      </c>
      <c r="B15" s="133"/>
      <c r="C15" s="134"/>
      <c r="D15" s="210"/>
      <c r="E15" s="173"/>
      <c r="F15" s="174"/>
    </row>
    <row r="16">
      <c r="A16" s="135"/>
      <c r="B16" s="136"/>
      <c r="C16" s="137"/>
      <c r="D16" s="175"/>
      <c r="E16" s="176"/>
      <c r="F16" s="177"/>
    </row>
    <row r="17" ht="23.25" customHeight="1"/>
    <row r="18" ht="23.25" customHeight="1"/>
    <row r="19" ht="23.25" customHeight="1"/>
    <row r="20" ht="23.25" customHeight="1"/>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mergeCells count="11">
    <mergeCell ref="A14:C14"/>
    <mergeCell ref="D14:F14"/>
    <mergeCell ref="A15:C16"/>
    <mergeCell ref="D15:F16"/>
    <mergeCell ref="A3:A6"/>
    <mergeCell ref="A7:A8"/>
    <mergeCell ref="A9:A10"/>
    <mergeCell ref="A12:C12"/>
    <mergeCell ref="D12:F12"/>
    <mergeCell ref="A13:C13"/>
    <mergeCell ref="D13:F13"/>
  </mergeCells>
  <dataValidations>
    <dataValidation type="list" allowBlank="1" showErrorMessage="1" sqref="D2 D4:D7 D9">
      <formula1>"Please choose an option,Yes,No"</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4.88"/>
    <col customWidth="1" hidden="1" min="2" max="2" width="14.88"/>
    <col customWidth="1" min="3" max="3" width="50.13"/>
    <col customWidth="1" min="4" max="4" width="24.5"/>
    <col customWidth="1" min="5" max="5" width="12.5"/>
    <col customWidth="1" min="6" max="6" width="25.5"/>
    <col customWidth="1" min="7" max="26" width="8.88"/>
  </cols>
  <sheetData>
    <row r="1" ht="46.5" customHeight="1">
      <c r="A1" s="191">
        <v>8.0</v>
      </c>
      <c r="B1" s="191"/>
      <c r="C1" s="90" t="s">
        <v>436</v>
      </c>
      <c r="D1" s="89" t="s">
        <v>44</v>
      </c>
      <c r="E1" s="89" t="s">
        <v>108</v>
      </c>
      <c r="F1" s="89" t="s">
        <v>45</v>
      </c>
    </row>
    <row r="2">
      <c r="A2" s="92">
        <v>8.1</v>
      </c>
      <c r="B2" s="92" t="s">
        <v>437</v>
      </c>
      <c r="C2" s="211" t="s">
        <v>438</v>
      </c>
      <c r="D2" s="94" t="s">
        <v>63</v>
      </c>
      <c r="E2" s="95">
        <f t="shared" ref="E2:E6" si="1">IF(D2="Yes", 1, IF(D2="No", 0, ""))</f>
      </c>
      <c r="F2" s="212"/>
    </row>
    <row r="3">
      <c r="A3" s="92">
        <v>8.2</v>
      </c>
      <c r="B3" s="92" t="s">
        <v>439</v>
      </c>
      <c r="C3" s="211" t="s">
        <v>440</v>
      </c>
      <c r="D3" s="94" t="s">
        <v>63</v>
      </c>
      <c r="E3" s="95">
        <f t="shared" si="1"/>
      </c>
      <c r="F3" s="213"/>
    </row>
    <row r="4">
      <c r="A4" s="92">
        <v>8.3</v>
      </c>
      <c r="B4" s="92" t="s">
        <v>441</v>
      </c>
      <c r="C4" s="211" t="s">
        <v>442</v>
      </c>
      <c r="D4" s="94" t="s">
        <v>63</v>
      </c>
      <c r="E4" s="95">
        <f t="shared" si="1"/>
      </c>
      <c r="F4" s="214"/>
    </row>
    <row r="5">
      <c r="A5" s="92">
        <v>8.4</v>
      </c>
      <c r="B5" s="92" t="s">
        <v>443</v>
      </c>
      <c r="C5" s="211" t="s">
        <v>444</v>
      </c>
      <c r="D5" s="94" t="s">
        <v>63</v>
      </c>
      <c r="E5" s="95">
        <f t="shared" si="1"/>
      </c>
      <c r="F5" s="214"/>
    </row>
    <row r="6">
      <c r="A6" s="92">
        <v>8.5</v>
      </c>
      <c r="B6" s="92" t="s">
        <v>445</v>
      </c>
      <c r="C6" s="211" t="s">
        <v>446</v>
      </c>
      <c r="D6" s="94" t="s">
        <v>63</v>
      </c>
      <c r="E6" s="95">
        <f t="shared" si="1"/>
      </c>
      <c r="F6" s="214"/>
    </row>
    <row r="7">
      <c r="A7" s="92">
        <v>8.6</v>
      </c>
      <c r="B7" s="92" t="s">
        <v>447</v>
      </c>
      <c r="C7" s="211" t="s">
        <v>448</v>
      </c>
      <c r="D7" s="215"/>
      <c r="E7" s="95" t="s">
        <v>98</v>
      </c>
      <c r="F7" s="107"/>
    </row>
    <row r="8" ht="23.25" customHeight="1">
      <c r="A8" s="216"/>
      <c r="B8" s="216"/>
      <c r="C8" s="216"/>
      <c r="D8" s="216"/>
      <c r="E8" s="216"/>
      <c r="F8" s="216"/>
    </row>
    <row r="9" ht="23.25" customHeight="1">
      <c r="A9" s="126" t="s">
        <v>216</v>
      </c>
      <c r="B9" s="127"/>
      <c r="C9" s="128"/>
      <c r="D9" s="217">
        <f>SUM(E1:E6)</f>
      </c>
      <c r="E9" s="127"/>
      <c r="F9" s="128"/>
    </row>
    <row r="10" ht="23.25" customHeight="1">
      <c r="A10" s="126" t="s">
        <v>92</v>
      </c>
      <c r="B10" s="127"/>
      <c r="C10" s="128"/>
      <c r="D10" s="130" t="s">
        <v>449</v>
      </c>
      <c r="E10" s="127"/>
      <c r="F10" s="128"/>
    </row>
    <row r="11" ht="23.25" customHeight="1">
      <c r="A11" s="126" t="s">
        <v>219</v>
      </c>
      <c r="B11" s="127"/>
      <c r="C11" s="128"/>
      <c r="D11" s="171" t="s">
        <v>281</v>
      </c>
      <c r="E11" s="127"/>
      <c r="F11" s="128"/>
    </row>
    <row r="12" ht="23.25" customHeight="1">
      <c r="A12" s="132" t="s">
        <v>220</v>
      </c>
      <c r="B12" s="133"/>
      <c r="C12" s="134"/>
      <c r="D12" s="218"/>
      <c r="E12" s="173"/>
      <c r="F12" s="174"/>
    </row>
    <row r="13" ht="23.25" customHeight="1">
      <c r="A13" s="135"/>
      <c r="B13" s="136"/>
      <c r="C13" s="137"/>
      <c r="D13" s="175"/>
      <c r="E13" s="176"/>
      <c r="F13" s="177"/>
    </row>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mergeCells count="8">
    <mergeCell ref="A9:C9"/>
    <mergeCell ref="D9:F9"/>
    <mergeCell ref="A10:C10"/>
    <mergeCell ref="D10:F10"/>
    <mergeCell ref="A11:C11"/>
    <mergeCell ref="D11:F11"/>
    <mergeCell ref="A12:C13"/>
    <mergeCell ref="D12:F13"/>
  </mergeCells>
  <dataValidations>
    <dataValidation type="list" allowBlank="1" showErrorMessage="1" sqref="D2:D6">
      <formula1>"Please choose an option,Yes,No"</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4.5"/>
    <col customWidth="1" hidden="1" min="2" max="2" width="14.5"/>
    <col customWidth="1" min="3" max="3" width="41.13"/>
    <col customWidth="1" min="4" max="4" width="25.88"/>
    <col customWidth="1" min="5" max="5" width="16.13"/>
    <col customWidth="1" min="6" max="6" width="46.88"/>
    <col customWidth="1" min="7" max="26" width="8.88"/>
  </cols>
  <sheetData>
    <row r="1" ht="41.25" customHeight="1">
      <c r="A1" s="31">
        <v>9.0</v>
      </c>
      <c r="B1" s="31"/>
      <c r="C1" s="32" t="s">
        <v>450</v>
      </c>
      <c r="D1" s="32" t="s">
        <v>44</v>
      </c>
      <c r="E1" s="178" t="s">
        <v>108</v>
      </c>
      <c r="F1" s="178" t="s">
        <v>45</v>
      </c>
    </row>
    <row r="2">
      <c r="A2" s="186">
        <v>9.1</v>
      </c>
      <c r="B2" s="219" t="s">
        <v>451</v>
      </c>
      <c r="C2" s="44" t="s">
        <v>452</v>
      </c>
      <c r="D2" s="45" t="s">
        <v>63</v>
      </c>
      <c r="E2" s="143" t="s">
        <v>98</v>
      </c>
      <c r="F2" s="48"/>
    </row>
    <row r="3">
      <c r="A3" s="43"/>
      <c r="B3" s="219" t="s">
        <v>453</v>
      </c>
      <c r="C3" s="44" t="s">
        <v>454</v>
      </c>
      <c r="D3" s="38"/>
      <c r="E3" s="143" t="s">
        <v>98</v>
      </c>
      <c r="F3" s="48"/>
    </row>
    <row r="4">
      <c r="A4" s="153">
        <v>9.2</v>
      </c>
      <c r="B4" s="219" t="s">
        <v>455</v>
      </c>
      <c r="C4" s="44" t="s">
        <v>456</v>
      </c>
      <c r="D4" s="45" t="s">
        <v>63</v>
      </c>
      <c r="E4" s="143" t="s">
        <v>98</v>
      </c>
      <c r="F4" s="48"/>
    </row>
    <row r="5">
      <c r="A5" s="186">
        <v>9.3</v>
      </c>
      <c r="B5" s="219" t="s">
        <v>457</v>
      </c>
      <c r="C5" s="44" t="s">
        <v>458</v>
      </c>
      <c r="D5" s="45" t="s">
        <v>63</v>
      </c>
      <c r="E5" s="143" t="s">
        <v>98</v>
      </c>
      <c r="F5" s="209"/>
    </row>
    <row r="6" ht="23.25" customHeight="1">
      <c r="A6" s="43"/>
      <c r="B6" s="219" t="s">
        <v>459</v>
      </c>
      <c r="C6" s="44" t="s">
        <v>460</v>
      </c>
      <c r="D6" s="38"/>
      <c r="E6" s="143" t="s">
        <v>98</v>
      </c>
      <c r="F6" s="48"/>
    </row>
    <row r="7">
      <c r="A7" s="153">
        <v>9.4</v>
      </c>
      <c r="B7" s="219" t="s">
        <v>461</v>
      </c>
      <c r="C7" s="44" t="s">
        <v>462</v>
      </c>
      <c r="D7" s="45" t="s">
        <v>63</v>
      </c>
      <c r="E7" s="143" t="s">
        <v>98</v>
      </c>
      <c r="F7" s="48"/>
    </row>
    <row r="8" ht="23.25" customHeight="1">
      <c r="A8" s="27"/>
      <c r="B8" s="27"/>
      <c r="C8" s="27"/>
      <c r="D8" s="27"/>
      <c r="E8" s="27"/>
      <c r="F8" s="28"/>
    </row>
    <row r="9" ht="23.25" customHeight="1">
      <c r="A9" s="161" t="s">
        <v>219</v>
      </c>
      <c r="B9" s="127"/>
      <c r="C9" s="128"/>
      <c r="D9" s="164" t="s">
        <v>281</v>
      </c>
      <c r="E9" s="127"/>
      <c r="F9" s="128"/>
    </row>
    <row r="10" ht="23.25" customHeight="1">
      <c r="A10" s="165" t="s">
        <v>220</v>
      </c>
      <c r="B10" s="133"/>
      <c r="C10" s="134"/>
      <c r="D10" s="210"/>
      <c r="E10" s="173"/>
      <c r="F10" s="174"/>
    </row>
    <row r="11" ht="72.75" customHeight="1">
      <c r="A11" s="135"/>
      <c r="B11" s="136"/>
      <c r="C11" s="137"/>
      <c r="D11" s="175"/>
      <c r="E11" s="176"/>
      <c r="F11" s="177"/>
    </row>
    <row r="12" ht="23.25" customHeight="1"/>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mergeCells count="6">
    <mergeCell ref="A2:A3"/>
    <mergeCell ref="A5:A6"/>
    <mergeCell ref="A9:C9"/>
    <mergeCell ref="D9:F9"/>
    <mergeCell ref="A10:C11"/>
    <mergeCell ref="D10:F11"/>
  </mergeCells>
  <dataValidations>
    <dataValidation type="list" allowBlank="1" showErrorMessage="1" sqref="D2 D4:D5 D7">
      <formula1>"Please choose an option,Yes,No"</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88"/>
    <col customWidth="1" hidden="1" min="2" max="2" width="15.88"/>
    <col customWidth="1" min="3" max="3" width="44.13"/>
    <col customWidth="1" min="4" max="4" width="42.13"/>
    <col customWidth="1" min="5" max="5" width="13.38"/>
    <col customWidth="1" min="6" max="6" width="29.13"/>
    <col customWidth="1" min="7" max="26" width="8.88"/>
  </cols>
  <sheetData>
    <row r="1" ht="23.25" customHeight="1">
      <c r="A1" s="220">
        <v>10.0</v>
      </c>
      <c r="B1" s="220"/>
      <c r="C1" s="221" t="s">
        <v>463</v>
      </c>
      <c r="D1" s="221" t="s">
        <v>44</v>
      </c>
      <c r="E1" s="222"/>
      <c r="F1" s="221" t="s">
        <v>464</v>
      </c>
    </row>
    <row r="2">
      <c r="A2" s="92">
        <v>10.1</v>
      </c>
      <c r="B2" s="92" t="s">
        <v>465</v>
      </c>
      <c r="C2" s="193" t="s">
        <v>466</v>
      </c>
      <c r="D2" s="94" t="s">
        <v>63</v>
      </c>
      <c r="E2" s="95">
        <f t="shared" ref="E2:E5" si="1">IF(D2="Yes", 1, IF(D2="No", 0, ""))</f>
      </c>
      <c r="F2" s="107"/>
    </row>
    <row r="3">
      <c r="A3" s="92">
        <v>10.2</v>
      </c>
      <c r="B3" s="92" t="s">
        <v>467</v>
      </c>
      <c r="C3" s="193" t="s">
        <v>468</v>
      </c>
      <c r="D3" s="94" t="s">
        <v>63</v>
      </c>
      <c r="E3" s="95">
        <f t="shared" si="1"/>
      </c>
      <c r="F3" s="107"/>
    </row>
    <row r="4">
      <c r="A4" s="92">
        <v>10.3</v>
      </c>
      <c r="B4" s="92" t="s">
        <v>469</v>
      </c>
      <c r="C4" s="193" t="s">
        <v>470</v>
      </c>
      <c r="D4" s="94" t="s">
        <v>63</v>
      </c>
      <c r="E4" s="95">
        <f t="shared" si="1"/>
      </c>
      <c r="F4" s="107"/>
    </row>
    <row r="5">
      <c r="A5" s="98">
        <v>10.4</v>
      </c>
      <c r="B5" s="92" t="s">
        <v>471</v>
      </c>
      <c r="C5" s="223" t="s">
        <v>472</v>
      </c>
      <c r="D5" s="94" t="s">
        <v>63</v>
      </c>
      <c r="E5" s="95">
        <f t="shared" si="1"/>
      </c>
      <c r="F5" s="107"/>
    </row>
    <row r="6">
      <c r="A6" s="40"/>
      <c r="B6" s="92" t="s">
        <v>473</v>
      </c>
      <c r="C6" s="223" t="s">
        <v>474</v>
      </c>
      <c r="D6" s="213"/>
      <c r="E6" s="95" t="s">
        <v>98</v>
      </c>
      <c r="F6" s="107"/>
    </row>
    <row r="7">
      <c r="A7" s="43"/>
      <c r="B7" s="92" t="s">
        <v>475</v>
      </c>
      <c r="C7" s="223" t="s">
        <v>476</v>
      </c>
      <c r="D7" s="113"/>
      <c r="E7" s="95" t="s">
        <v>98</v>
      </c>
      <c r="F7" s="107"/>
    </row>
    <row r="8">
      <c r="A8" s="92">
        <v>10.5</v>
      </c>
      <c r="B8" s="92" t="s">
        <v>477</v>
      </c>
      <c r="C8" s="223" t="s">
        <v>478</v>
      </c>
      <c r="D8" s="94" t="s">
        <v>63</v>
      </c>
      <c r="E8" s="95">
        <f>IF(D8="Yes", 1, IF(D8="No", 0, ""))</f>
      </c>
      <c r="F8" s="107"/>
    </row>
    <row r="9">
      <c r="A9" s="92">
        <v>10.6</v>
      </c>
      <c r="B9" s="92" t="s">
        <v>479</v>
      </c>
      <c r="C9" s="193" t="s">
        <v>480</v>
      </c>
      <c r="D9" s="113"/>
      <c r="E9" s="118" t="s">
        <v>98</v>
      </c>
      <c r="F9" s="107"/>
    </row>
    <row r="10">
      <c r="A10" s="98">
        <v>10.7</v>
      </c>
      <c r="B10" s="92" t="s">
        <v>481</v>
      </c>
      <c r="C10" s="193" t="s">
        <v>482</v>
      </c>
      <c r="D10" s="113"/>
      <c r="E10" s="40"/>
      <c r="F10" s="107"/>
    </row>
    <row r="11">
      <c r="A11" s="40"/>
      <c r="B11" s="92" t="s">
        <v>483</v>
      </c>
      <c r="C11" s="193" t="s">
        <v>484</v>
      </c>
      <c r="D11" s="113"/>
      <c r="E11" s="40"/>
      <c r="F11" s="107"/>
    </row>
    <row r="12">
      <c r="A12" s="40"/>
      <c r="B12" s="92" t="s">
        <v>485</v>
      </c>
      <c r="C12" s="193" t="s">
        <v>486</v>
      </c>
      <c r="D12" s="113"/>
      <c r="E12" s="40"/>
      <c r="F12" s="107"/>
    </row>
    <row r="13">
      <c r="A13" s="40"/>
      <c r="B13" s="92" t="s">
        <v>487</v>
      </c>
      <c r="C13" s="193" t="s">
        <v>488</v>
      </c>
      <c r="D13" s="113"/>
      <c r="E13" s="40"/>
      <c r="F13" s="107"/>
    </row>
    <row r="14">
      <c r="A14" s="43"/>
      <c r="B14" s="92" t="s">
        <v>489</v>
      </c>
      <c r="C14" s="193" t="s">
        <v>490</v>
      </c>
      <c r="D14" s="113"/>
      <c r="E14" s="43"/>
      <c r="F14" s="107"/>
    </row>
    <row r="15" ht="23.25" customHeight="1">
      <c r="A15" s="224"/>
      <c r="B15" s="224"/>
      <c r="C15" s="225"/>
      <c r="D15" s="78"/>
      <c r="E15" s="78"/>
      <c r="F15" s="226"/>
    </row>
    <row r="16" ht="23.25" customHeight="1">
      <c r="A16" s="126" t="s">
        <v>216</v>
      </c>
      <c r="B16" s="127"/>
      <c r="C16" s="128"/>
      <c r="D16" s="217">
        <f>SUM(E2:E8)</f>
      </c>
      <c r="E16" s="127"/>
      <c r="F16" s="128"/>
    </row>
    <row r="17" ht="23.25" customHeight="1">
      <c r="A17" s="126" t="s">
        <v>92</v>
      </c>
      <c r="B17" s="127"/>
      <c r="C17" s="128"/>
      <c r="D17" s="130" t="s">
        <v>449</v>
      </c>
      <c r="E17" s="127"/>
      <c r="F17" s="128"/>
    </row>
    <row r="18" ht="23.25" customHeight="1">
      <c r="A18" s="126" t="s">
        <v>219</v>
      </c>
      <c r="B18" s="127"/>
      <c r="C18" s="128"/>
      <c r="D18" s="171" t="s">
        <v>281</v>
      </c>
      <c r="E18" s="127"/>
      <c r="F18" s="128"/>
    </row>
    <row r="19" ht="23.25" customHeight="1">
      <c r="A19" s="132" t="s">
        <v>220</v>
      </c>
      <c r="B19" s="133"/>
      <c r="C19" s="134"/>
      <c r="D19" s="172"/>
      <c r="E19" s="173"/>
      <c r="F19" s="174"/>
    </row>
    <row r="20" ht="23.25" customHeight="1">
      <c r="A20" s="135"/>
      <c r="B20" s="136"/>
      <c r="C20" s="137"/>
      <c r="D20" s="175"/>
      <c r="E20" s="176"/>
      <c r="F20" s="177"/>
    </row>
    <row r="21" ht="23.25" customHeight="1"/>
    <row r="22" ht="23.25" customHeight="1"/>
    <row r="23" ht="23.25" customHeight="1"/>
    <row r="24" ht="23.25" customHeight="1"/>
    <row r="25" ht="23.25" customHeight="1"/>
    <row r="26" ht="23.25" customHeight="1"/>
    <row r="27" ht="23.25" customHeight="1"/>
    <row r="28" ht="23.25" customHeight="1"/>
    <row r="29" ht="23.25" customHeight="1"/>
    <row r="30" ht="23.25" customHeight="1"/>
    <row r="31" ht="23.25" customHeight="1"/>
    <row r="32" ht="23.25" customHeight="1"/>
    <row r="33" ht="23.25" customHeight="1"/>
    <row r="34" ht="23.2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row r="999" ht="23.25" customHeight="1"/>
    <row r="1000" ht="23.25" customHeight="1"/>
  </sheetData>
  <mergeCells count="11">
    <mergeCell ref="A18:C18"/>
    <mergeCell ref="D18:F18"/>
    <mergeCell ref="A19:C20"/>
    <mergeCell ref="D19:F20"/>
    <mergeCell ref="A5:A7"/>
    <mergeCell ref="E9:E14"/>
    <mergeCell ref="A10:A14"/>
    <mergeCell ref="A16:C16"/>
    <mergeCell ref="D16:F16"/>
    <mergeCell ref="A17:C17"/>
    <mergeCell ref="D17:F17"/>
  </mergeCells>
  <dataValidations>
    <dataValidation type="decimal" allowBlank="1" showInputMessage="1" showErrorMessage="1" prompt="Number only" sqref="D9:D14">
      <formula1>1.0</formula1>
      <formula2>9.99999999999999E17</formula2>
    </dataValidation>
    <dataValidation type="list" allowBlank="1" showErrorMessage="1" sqref="D2:D5 D8">
      <formula1>"Please choose an option,Yes,No"</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38"/>
    <col customWidth="1" min="2" max="2" width="15.13"/>
    <col customWidth="1" min="3" max="4" width="19.63"/>
    <col customWidth="1" min="5" max="5" width="14.38"/>
    <col customWidth="1" min="6" max="6" width="13.38"/>
    <col customWidth="1" min="7" max="7" width="25.88"/>
    <col customWidth="1" min="8" max="9" width="12.63"/>
  </cols>
  <sheetData>
    <row r="1" ht="19.5" customHeight="1">
      <c r="A1" s="227" t="s">
        <v>6</v>
      </c>
      <c r="B1" s="227" t="s">
        <v>491</v>
      </c>
      <c r="C1" s="227" t="s">
        <v>492</v>
      </c>
      <c r="D1" s="227" t="s">
        <v>493</v>
      </c>
      <c r="E1" s="227" t="s">
        <v>494</v>
      </c>
      <c r="F1" s="6"/>
      <c r="G1" s="227" t="s">
        <v>495</v>
      </c>
    </row>
    <row r="2" ht="22.5" customHeight="1">
      <c r="A2" s="9">
        <f>'1 General Information'!B28</f>
      </c>
      <c r="B2" s="228">
        <f>'1 General Information'!D28</f>
      </c>
      <c r="C2" s="228">
        <v>20.0</v>
      </c>
      <c r="D2" s="229">
        <f t="shared" ref="D2:D9" si="1">IF(E2&gt;=0.9,"Excellent",
IF(E2&gt;=0.7,"Strong",
IF(E2&gt;=0.5,"Developing",
IF(E2&gt;=0.2,"At Risk",IF(E2&gt;=0.01,
"Critical","Not started")))))</f>
      </c>
      <c r="E2" s="230">
        <f t="shared" ref="E2:E9" si="2">IF(C2="","",B2/C2)</f>
      </c>
      <c r="F2" s="6"/>
      <c r="G2" s="231" t="s">
        <v>496</v>
      </c>
    </row>
    <row r="3" ht="19.5" customHeight="1">
      <c r="A3" s="9">
        <f>'1 General Information'!B29</f>
      </c>
      <c r="B3" s="228">
        <f>'1 General Information'!D29</f>
      </c>
      <c r="C3" s="232">
        <f>'1 General Information'!E29</f>
      </c>
      <c r="D3" s="229">
        <f t="shared" si="1"/>
      </c>
      <c r="E3" s="230">
        <f t="shared" si="2"/>
      </c>
      <c r="F3" s="6"/>
      <c r="G3" s="233" t="s">
        <v>497</v>
      </c>
    </row>
    <row r="4" ht="30.75" customHeight="1">
      <c r="A4" s="9">
        <f>'1 General Information'!B30</f>
      </c>
      <c r="B4" s="228">
        <f>'1 General Information'!D30</f>
      </c>
      <c r="C4" s="232">
        <f>'1 General Information'!E30</f>
      </c>
      <c r="D4" s="229">
        <f t="shared" si="1"/>
      </c>
      <c r="E4" s="230">
        <f t="shared" si="2"/>
      </c>
      <c r="F4" s="6"/>
      <c r="G4" s="234" t="s">
        <v>498</v>
      </c>
    </row>
    <row r="5" ht="21.0" customHeight="1">
      <c r="A5" s="9">
        <f>'1 General Information'!B31</f>
      </c>
      <c r="B5" s="228">
        <f>'1 General Information'!D31</f>
      </c>
      <c r="C5" s="232">
        <f>'1 General Information'!E31</f>
      </c>
      <c r="D5" s="229">
        <f t="shared" si="1"/>
      </c>
      <c r="E5" s="230">
        <f t="shared" si="2"/>
      </c>
      <c r="F5" s="6"/>
      <c r="G5" s="235" t="s">
        <v>499</v>
      </c>
    </row>
    <row r="6" ht="21.75" customHeight="1">
      <c r="A6" s="9">
        <f>'1 General Information'!B32</f>
      </c>
      <c r="B6" s="228">
        <f>'1 General Information'!D32</f>
      </c>
      <c r="C6" s="232">
        <f>'1 General Information'!E32</f>
      </c>
      <c r="D6" s="229">
        <f t="shared" si="1"/>
      </c>
      <c r="E6" s="230">
        <f t="shared" si="2"/>
      </c>
      <c r="F6" s="6"/>
      <c r="G6" s="236" t="s">
        <v>500</v>
      </c>
    </row>
    <row r="7" ht="21.75" customHeight="1">
      <c r="A7" s="9">
        <f>'1 General Information'!B33</f>
      </c>
      <c r="B7" s="228">
        <f>'1 General Information'!D33</f>
      </c>
      <c r="C7" s="232">
        <f>'1 General Information'!E33</f>
      </c>
      <c r="D7" s="229">
        <f t="shared" si="1"/>
      </c>
      <c r="E7" s="230">
        <f t="shared" si="2"/>
      </c>
      <c r="F7" s="6"/>
      <c r="G7" s="237" t="s">
        <v>501</v>
      </c>
    </row>
    <row r="8" ht="19.5" customHeight="1">
      <c r="A8" s="9" t="s">
        <v>97</v>
      </c>
      <c r="B8" s="228">
        <f>'1 General Information'!D34</f>
      </c>
      <c r="C8" s="232">
        <v>5.0</v>
      </c>
      <c r="D8" s="229">
        <f t="shared" si="1"/>
      </c>
      <c r="E8" s="230">
        <f t="shared" si="2"/>
      </c>
      <c r="F8" s="6"/>
      <c r="G8" s="6"/>
    </row>
    <row r="9" ht="19.5" customHeight="1">
      <c r="A9" s="9">
        <f>'1 General Information'!B36</f>
      </c>
      <c r="B9" s="228">
        <f>'1 General Information'!D36</f>
      </c>
      <c r="C9" s="232">
        <f>'1 General Information'!E36</f>
      </c>
      <c r="D9" s="229">
        <f t="shared" si="1"/>
      </c>
      <c r="E9" s="230">
        <f t="shared" si="2"/>
      </c>
      <c r="F9" s="6"/>
      <c r="G9" s="6"/>
    </row>
    <row r="10" ht="12.75" customHeight="1">
      <c r="A10" s="58"/>
      <c r="B10" s="238"/>
      <c r="C10" s="238"/>
      <c r="D10" s="238"/>
      <c r="E10" s="6"/>
      <c r="F10" s="6"/>
      <c r="G10" s="6"/>
    </row>
    <row r="11" ht="19.5" customHeight="1">
      <c r="A11" s="227" t="s">
        <v>502</v>
      </c>
      <c r="B11" s="239">
        <f>IF(A12&gt;=0.9,
"Your YMCA demonstrates excellent organizational health across all key areas. Keep building on these strengths.",
IF(A12&gt;=0.7,
"Your YMCA shows strong organizational health, with a few opportunities to further strengthen impact.",
IF(A12&gt;=0.5,
"Your YMCA is developing organizational capacity, with clear opportunities for targeted strengthening.",
IF(A12&gt;=0.2,
"Your YMCA faces challenges in several areas and would benefit from focused support and planning.",IF(A12&gt;=0.01,
"Your YMCA is experiencing critical organizational challenges that require immediate attention and support.","Not started")))))</f>
      </c>
      <c r="C11" s="240"/>
      <c r="D11" s="240"/>
      <c r="E11" s="241"/>
      <c r="F11" s="6"/>
      <c r="G11" s="242" t="s">
        <v>503</v>
      </c>
      <c r="I11" s="243"/>
    </row>
    <row r="12" ht="18.0" customHeight="1">
      <c r="A12" s="230">
        <f>SUM(B2:B9) / SUM(C2:C9)</f>
      </c>
      <c r="B12" s="244"/>
      <c r="E12" s="245"/>
      <c r="F12" s="6"/>
      <c r="G12" s="246">
        <f t="array" ref="G12">IFERROR(
INDEX($A$2:$A$9,
MATCH(
SMALL(IF($E$2:$E$9&lt;0.5,$E$2:$E$9),1),
$E$2:$E$9,
0)
),
""
)</f>
      </c>
    </row>
    <row r="13" ht="19.5" customHeight="1">
      <c r="A13" s="247">
        <f>IF(A12&gt;=0.9,"Excellent Organizational Health",
IF(A12&gt;=0.7,"Strong Organizational Health",
IF(A12&gt;=0.5,"Developing Organizational Health",
IF(A12&gt;=0.2,"At Risk Organizational Health",IF(A12&gt;=0.001,"Critical Organizational Health",
"Not started")))))</f>
      </c>
      <c r="B13" s="248"/>
      <c r="C13" s="249"/>
      <c r="D13" s="249"/>
      <c r="E13" s="250"/>
      <c r="F13" s="6"/>
      <c r="G13" s="246">
        <f t="array" ref="G13">IFERROR(
INDEX($A$2:$A$9,
MATCH(
SMALL(IF($E$2:$E$9&lt;0.5,$E$2:$E$9),2),
$E$2:$E$9,
0)
),
""
)</f>
      </c>
    </row>
    <row r="14" ht="12.75" customHeight="1">
      <c r="B14" s="6"/>
      <c r="C14" s="6"/>
      <c r="D14" s="6"/>
      <c r="E14" s="6"/>
      <c r="F14" s="6"/>
      <c r="G14" s="6"/>
    </row>
    <row r="15" ht="12.75" customHeight="1">
      <c r="B15" s="6"/>
      <c r="C15" s="6"/>
      <c r="D15" s="6"/>
      <c r="E15" s="6"/>
      <c r="F15" s="6"/>
      <c r="G15" s="6"/>
    </row>
    <row r="16" ht="12.75" customHeight="1">
      <c r="B16" s="6"/>
      <c r="C16" s="6"/>
      <c r="D16" s="6"/>
      <c r="E16" s="6"/>
      <c r="F16" s="6"/>
      <c r="G16" s="6"/>
    </row>
    <row r="17" ht="12.75" customHeight="1">
      <c r="B17" s="6"/>
      <c r="C17" s="6"/>
      <c r="D17" s="6"/>
      <c r="E17" s="6"/>
      <c r="F17" s="6"/>
      <c r="G17" s="6"/>
    </row>
    <row r="18" ht="12.75" customHeight="1">
      <c r="A18" s="251"/>
      <c r="B18" s="252"/>
      <c r="C18" s="6"/>
      <c r="D18" s="6"/>
      <c r="E18" s="6"/>
      <c r="F18" s="6"/>
      <c r="G18" s="6"/>
    </row>
    <row r="19" ht="12.75" customHeight="1">
      <c r="A19" s="251"/>
      <c r="B19" s="6"/>
      <c r="C19" s="6"/>
      <c r="D19" s="6"/>
      <c r="E19" s="6"/>
      <c r="F19" s="6"/>
      <c r="G19" s="6"/>
    </row>
    <row r="20" ht="12.75" customHeight="1">
      <c r="A20" s="6"/>
      <c r="B20" s="251"/>
      <c r="C20" s="6"/>
      <c r="D20" s="6"/>
      <c r="E20" s="6"/>
      <c r="F20" s="6"/>
      <c r="G20" s="6"/>
    </row>
    <row r="21" ht="12.75" customHeight="1">
      <c r="A21" s="6"/>
      <c r="B21" s="251"/>
      <c r="C21" s="6"/>
      <c r="D21" s="6"/>
      <c r="E21" s="6"/>
      <c r="F21" s="6"/>
      <c r="G21" s="6"/>
    </row>
    <row r="22" ht="12.75" customHeight="1">
      <c r="A22" s="6"/>
      <c r="B22" s="251"/>
      <c r="C22" s="6"/>
      <c r="D22" s="6"/>
      <c r="E22" s="6"/>
      <c r="F22" s="6"/>
      <c r="G22" s="6"/>
    </row>
    <row r="23" ht="12.75" customHeight="1">
      <c r="A23" s="6"/>
      <c r="B23" s="251"/>
      <c r="C23" s="6"/>
      <c r="D23" s="6"/>
      <c r="E23" s="6"/>
      <c r="F23" s="6"/>
      <c r="G23" s="6"/>
    </row>
    <row r="24" ht="12.75" customHeight="1">
      <c r="A24" s="6"/>
      <c r="B24" s="238"/>
      <c r="C24" s="6"/>
      <c r="D24" s="6"/>
      <c r="E24" s="6"/>
      <c r="F24" s="6"/>
      <c r="G24" s="6"/>
    </row>
    <row r="25" ht="12.75" customHeight="1">
      <c r="A25" s="6"/>
      <c r="B25" s="6"/>
      <c r="C25" s="6"/>
      <c r="D25" s="6"/>
      <c r="E25" s="6"/>
      <c r="F25" s="6"/>
      <c r="G25" s="6"/>
    </row>
    <row r="26" ht="12.75" customHeight="1">
      <c r="A26" s="6"/>
      <c r="B26" s="6"/>
      <c r="C26" s="6"/>
      <c r="D26" s="6"/>
      <c r="E26" s="6"/>
      <c r="F26" s="6"/>
      <c r="G26" s="6"/>
    </row>
    <row r="27" ht="12.75" customHeight="1">
      <c r="A27" s="6"/>
      <c r="B27" s="6"/>
      <c r="C27" s="6"/>
      <c r="D27" s="6"/>
      <c r="E27" s="6"/>
      <c r="F27" s="6"/>
      <c r="G27" s="6"/>
    </row>
    <row r="28" ht="12.75" customHeight="1">
      <c r="A28" s="6"/>
      <c r="B28" s="6"/>
      <c r="C28" s="6"/>
      <c r="D28" s="6"/>
      <c r="E28" s="6"/>
      <c r="F28" s="6"/>
      <c r="G28" s="6"/>
    </row>
    <row r="29" ht="12.75" customHeight="1">
      <c r="A29" s="6"/>
      <c r="B29" s="6"/>
      <c r="C29" s="6"/>
      <c r="D29" s="6"/>
      <c r="E29" s="6"/>
      <c r="F29" s="6"/>
      <c r="G29" s="6"/>
    </row>
    <row r="30" ht="12.75" customHeight="1">
      <c r="A30" s="6"/>
      <c r="B30" s="6"/>
      <c r="C30" s="6"/>
      <c r="D30" s="6"/>
      <c r="E30" s="6"/>
      <c r="F30" s="6"/>
      <c r="G30" s="6"/>
    </row>
    <row r="31" ht="12.75" customHeight="1">
      <c r="A31" s="6"/>
      <c r="B31" s="6"/>
      <c r="C31" s="6"/>
      <c r="D31" s="6"/>
      <c r="E31" s="6"/>
      <c r="F31" s="6"/>
      <c r="G31" s="6"/>
    </row>
    <row r="32" ht="12.75" customHeight="1">
      <c r="A32" s="6"/>
      <c r="B32" s="6"/>
      <c r="C32" s="6"/>
      <c r="D32" s="6"/>
      <c r="E32" s="6"/>
      <c r="F32" s="6"/>
      <c r="G32" s="6"/>
    </row>
    <row r="33" ht="12.75" customHeight="1">
      <c r="A33" s="6"/>
      <c r="B33" s="6"/>
      <c r="C33" s="6"/>
      <c r="D33" s="6"/>
      <c r="E33" s="6"/>
      <c r="F33" s="6"/>
      <c r="G33" s="6"/>
    </row>
    <row r="34" ht="12.75" customHeight="1">
      <c r="A34" s="6"/>
      <c r="B34" s="6"/>
      <c r="C34" s="6"/>
      <c r="D34" s="6"/>
      <c r="E34" s="6"/>
      <c r="F34" s="6"/>
      <c r="G34" s="6"/>
    </row>
    <row r="35" ht="12.75" customHeight="1">
      <c r="A35" s="6"/>
      <c r="B35" s="6"/>
      <c r="C35" s="6"/>
      <c r="D35" s="6"/>
      <c r="E35" s="6"/>
      <c r="F35" s="6"/>
      <c r="G35" s="6"/>
    </row>
    <row r="36" ht="12.75" customHeight="1">
      <c r="A36" s="6"/>
      <c r="B36" s="6"/>
      <c r="C36" s="6"/>
      <c r="D36" s="6"/>
      <c r="E36" s="6"/>
      <c r="F36" s="6"/>
      <c r="G36" s="6"/>
    </row>
    <row r="37" ht="12.75" customHeight="1">
      <c r="A37" s="6"/>
      <c r="B37" s="6"/>
      <c r="C37" s="6"/>
      <c r="D37" s="6"/>
      <c r="E37" s="6"/>
      <c r="F37" s="6"/>
      <c r="G37" s="6"/>
    </row>
    <row r="38" ht="12.75" customHeight="1">
      <c r="A38" s="6"/>
      <c r="B38" s="6"/>
      <c r="C38" s="6"/>
      <c r="D38" s="6"/>
      <c r="E38" s="6"/>
      <c r="F38" s="6"/>
      <c r="G38" s="6"/>
    </row>
    <row r="39" ht="12.75" customHeight="1">
      <c r="A39" s="6"/>
      <c r="B39" s="6"/>
      <c r="C39" s="6"/>
      <c r="D39" s="6"/>
      <c r="E39" s="6"/>
      <c r="F39" s="6"/>
      <c r="G39" s="6"/>
    </row>
    <row r="40" ht="12.75" customHeight="1">
      <c r="A40" s="6"/>
      <c r="B40" s="6"/>
      <c r="C40" s="6"/>
      <c r="D40" s="6"/>
      <c r="E40" s="6"/>
      <c r="F40" s="6"/>
      <c r="G40" s="6"/>
    </row>
    <row r="41" ht="12.75" customHeight="1">
      <c r="A41" s="6"/>
      <c r="B41" s="6"/>
      <c r="C41" s="6"/>
      <c r="D41" s="6"/>
      <c r="E41" s="6"/>
      <c r="F41" s="6"/>
      <c r="G41" s="6"/>
    </row>
    <row r="42" ht="12.75" customHeight="1">
      <c r="A42" s="6"/>
      <c r="B42" s="6"/>
      <c r="C42" s="6"/>
      <c r="D42" s="6"/>
      <c r="E42" s="6"/>
      <c r="F42" s="6"/>
      <c r="G42" s="6"/>
    </row>
    <row r="43" ht="12.75" customHeight="1">
      <c r="A43" s="6"/>
      <c r="B43" s="6"/>
      <c r="C43" s="6"/>
      <c r="D43" s="6"/>
      <c r="E43" s="6"/>
      <c r="F43" s="6"/>
      <c r="G43" s="6"/>
    </row>
    <row r="44" ht="12.75" customHeight="1">
      <c r="A44" s="6"/>
      <c r="B44" s="6"/>
      <c r="C44" s="6"/>
      <c r="D44" s="6"/>
      <c r="E44" s="6"/>
      <c r="F44" s="6"/>
      <c r="G44" s="6"/>
    </row>
    <row r="45" ht="12.75" customHeight="1">
      <c r="A45" s="6"/>
      <c r="B45" s="6"/>
      <c r="C45" s="6"/>
      <c r="D45" s="6"/>
      <c r="E45" s="6"/>
      <c r="F45" s="6"/>
      <c r="G45" s="6"/>
    </row>
    <row r="46" ht="12.75" customHeight="1">
      <c r="A46" s="6"/>
      <c r="B46" s="6"/>
      <c r="C46" s="6"/>
      <c r="D46" s="6"/>
      <c r="E46" s="6"/>
      <c r="F46" s="6"/>
      <c r="G46" s="6"/>
    </row>
    <row r="47" ht="12.75" customHeight="1">
      <c r="A47" s="6"/>
      <c r="B47" s="6"/>
      <c r="C47" s="6"/>
      <c r="D47" s="6"/>
      <c r="E47" s="6"/>
      <c r="F47" s="6"/>
      <c r="G47" s="6"/>
    </row>
    <row r="48" ht="12.75" customHeight="1">
      <c r="A48" s="6"/>
      <c r="B48" s="6"/>
      <c r="C48" s="6"/>
      <c r="D48" s="6"/>
      <c r="E48" s="6"/>
      <c r="F48" s="6"/>
      <c r="G48" s="6"/>
    </row>
    <row r="49" ht="12.75" customHeight="1">
      <c r="A49" s="6"/>
      <c r="B49" s="6"/>
      <c r="C49" s="6"/>
      <c r="D49" s="6"/>
      <c r="E49" s="6"/>
      <c r="F49" s="6"/>
      <c r="G49" s="6"/>
    </row>
    <row r="50" ht="12.75" customHeight="1">
      <c r="A50" s="6"/>
      <c r="B50" s="6"/>
      <c r="C50" s="6"/>
      <c r="D50" s="6"/>
      <c r="E50" s="6"/>
      <c r="F50" s="6"/>
      <c r="G50" s="6"/>
    </row>
    <row r="51" ht="12.75" customHeight="1">
      <c r="A51" s="6"/>
      <c r="B51" s="6"/>
      <c r="C51" s="6"/>
      <c r="D51" s="6"/>
      <c r="E51" s="6"/>
      <c r="F51" s="6"/>
      <c r="G51" s="6"/>
    </row>
    <row r="52" ht="12.75" customHeight="1">
      <c r="A52" s="6"/>
      <c r="B52" s="6"/>
      <c r="C52" s="6"/>
      <c r="D52" s="6"/>
      <c r="E52" s="6"/>
      <c r="F52" s="6"/>
      <c r="G52" s="6"/>
    </row>
    <row r="53" ht="12.75" customHeight="1">
      <c r="A53" s="6"/>
      <c r="B53" s="6"/>
      <c r="C53" s="6"/>
      <c r="D53" s="6"/>
      <c r="E53" s="6"/>
      <c r="F53" s="6"/>
      <c r="G53" s="6"/>
    </row>
    <row r="54" ht="12.75" customHeight="1">
      <c r="A54" s="6"/>
      <c r="B54" s="6"/>
      <c r="C54" s="6"/>
      <c r="D54" s="6"/>
      <c r="E54" s="6"/>
      <c r="F54" s="6"/>
      <c r="G54" s="6"/>
    </row>
    <row r="55" ht="12.75" customHeight="1">
      <c r="A55" s="6"/>
      <c r="B55" s="6"/>
      <c r="C55" s="6"/>
      <c r="D55" s="6"/>
      <c r="E55" s="6"/>
      <c r="F55" s="6"/>
      <c r="G55" s="6"/>
    </row>
    <row r="56" ht="12.75" customHeight="1">
      <c r="A56" s="6"/>
      <c r="B56" s="6"/>
      <c r="C56" s="6"/>
      <c r="D56" s="6"/>
      <c r="E56" s="6"/>
      <c r="F56" s="6"/>
      <c r="G56" s="6"/>
    </row>
    <row r="57" ht="12.75" customHeight="1">
      <c r="A57" s="6"/>
      <c r="B57" s="6"/>
      <c r="C57" s="6"/>
      <c r="D57" s="6"/>
      <c r="E57" s="6"/>
      <c r="F57" s="6"/>
      <c r="G57" s="6"/>
    </row>
    <row r="58" ht="12.75" customHeight="1">
      <c r="A58" s="6"/>
      <c r="B58" s="6"/>
      <c r="C58" s="6"/>
      <c r="D58" s="6"/>
      <c r="E58" s="6"/>
      <c r="F58" s="6"/>
      <c r="G58" s="6"/>
    </row>
    <row r="59" ht="12.75" customHeight="1">
      <c r="A59" s="6"/>
      <c r="B59" s="6"/>
      <c r="C59" s="6"/>
      <c r="D59" s="6"/>
      <c r="E59" s="6"/>
      <c r="F59" s="6"/>
      <c r="G59" s="6"/>
    </row>
    <row r="60" ht="12.75" customHeight="1">
      <c r="A60" s="6"/>
      <c r="B60" s="6"/>
      <c r="C60" s="6"/>
      <c r="D60" s="6"/>
      <c r="E60" s="6"/>
      <c r="F60" s="6"/>
      <c r="G60" s="6"/>
    </row>
    <row r="61" ht="12.75" customHeight="1">
      <c r="A61" s="6"/>
      <c r="B61" s="6"/>
      <c r="C61" s="6"/>
      <c r="D61" s="6"/>
      <c r="E61" s="6"/>
      <c r="F61" s="6"/>
      <c r="G61" s="6"/>
    </row>
    <row r="62" ht="12.75" customHeight="1">
      <c r="A62" s="6"/>
      <c r="B62" s="6"/>
      <c r="C62" s="6"/>
      <c r="D62" s="6"/>
      <c r="E62" s="6"/>
      <c r="F62" s="6"/>
      <c r="G62" s="6"/>
    </row>
    <row r="63" ht="12.75" customHeight="1">
      <c r="A63" s="6"/>
      <c r="B63" s="6"/>
      <c r="C63" s="6"/>
      <c r="D63" s="6"/>
      <c r="E63" s="6"/>
      <c r="F63" s="6"/>
      <c r="G63" s="6"/>
    </row>
    <row r="64" ht="12.75" customHeight="1">
      <c r="A64" s="6"/>
      <c r="B64" s="6"/>
      <c r="C64" s="6"/>
      <c r="D64" s="6"/>
      <c r="E64" s="6"/>
      <c r="F64" s="6"/>
      <c r="G64" s="6"/>
    </row>
    <row r="65" ht="12.75" customHeight="1">
      <c r="A65" s="6"/>
      <c r="B65" s="6"/>
      <c r="C65" s="6"/>
      <c r="D65" s="6"/>
      <c r="E65" s="6"/>
      <c r="F65" s="6"/>
      <c r="G65" s="6"/>
    </row>
    <row r="66" ht="12.75" customHeight="1">
      <c r="A66" s="6"/>
      <c r="B66" s="6"/>
      <c r="C66" s="6"/>
      <c r="D66" s="6"/>
      <c r="E66" s="6"/>
      <c r="F66" s="6"/>
      <c r="G66" s="6"/>
    </row>
    <row r="67" ht="12.75" customHeight="1">
      <c r="A67" s="6"/>
      <c r="B67" s="6"/>
      <c r="C67" s="6"/>
      <c r="D67" s="6"/>
      <c r="E67" s="6"/>
      <c r="F67" s="6"/>
      <c r="G67" s="6"/>
    </row>
    <row r="68" ht="12.75" customHeight="1">
      <c r="A68" s="6"/>
      <c r="B68" s="6"/>
      <c r="C68" s="6"/>
      <c r="D68" s="6"/>
      <c r="E68" s="6"/>
      <c r="F68" s="6"/>
      <c r="G68" s="6"/>
    </row>
    <row r="69" ht="12.75" customHeight="1">
      <c r="A69" s="6"/>
      <c r="B69" s="6"/>
      <c r="C69" s="6"/>
      <c r="D69" s="6"/>
      <c r="E69" s="6"/>
      <c r="F69" s="6"/>
      <c r="G69" s="6"/>
    </row>
    <row r="70" ht="12.75" customHeight="1">
      <c r="A70" s="6"/>
      <c r="B70" s="6"/>
      <c r="C70" s="6"/>
      <c r="D70" s="6"/>
      <c r="E70" s="6"/>
      <c r="F70" s="6"/>
      <c r="G70" s="6"/>
    </row>
    <row r="71" ht="12.75" customHeight="1">
      <c r="A71" s="6"/>
      <c r="B71" s="6"/>
      <c r="C71" s="6"/>
      <c r="D71" s="6"/>
      <c r="E71" s="6"/>
      <c r="F71" s="6"/>
      <c r="G71" s="6"/>
    </row>
    <row r="72" ht="12.75" customHeight="1">
      <c r="A72" s="6"/>
      <c r="B72" s="6"/>
      <c r="C72" s="6"/>
      <c r="D72" s="6"/>
      <c r="E72" s="6"/>
      <c r="F72" s="6"/>
      <c r="G72" s="6"/>
    </row>
    <row r="73" ht="12.75" customHeight="1">
      <c r="A73" s="6"/>
      <c r="B73" s="6"/>
      <c r="C73" s="6"/>
      <c r="D73" s="6"/>
      <c r="E73" s="6"/>
      <c r="F73" s="6"/>
      <c r="G73" s="6"/>
    </row>
    <row r="74" ht="12.75" customHeight="1">
      <c r="A74" s="6"/>
      <c r="B74" s="6"/>
      <c r="C74" s="6"/>
      <c r="D74" s="6"/>
      <c r="E74" s="6"/>
      <c r="F74" s="6"/>
      <c r="G74" s="6"/>
    </row>
    <row r="75" ht="12.75" customHeight="1">
      <c r="A75" s="6"/>
      <c r="B75" s="6"/>
      <c r="C75" s="6"/>
      <c r="D75" s="6"/>
      <c r="E75" s="6"/>
      <c r="F75" s="6"/>
      <c r="G75" s="6"/>
    </row>
    <row r="76" ht="12.75" customHeight="1">
      <c r="A76" s="6"/>
      <c r="B76" s="6"/>
      <c r="C76" s="6"/>
      <c r="D76" s="6"/>
      <c r="E76" s="6"/>
      <c r="F76" s="6"/>
      <c r="G76" s="6"/>
    </row>
    <row r="77" ht="12.75" customHeight="1">
      <c r="A77" s="6"/>
      <c r="B77" s="6"/>
      <c r="C77" s="6"/>
      <c r="D77" s="6"/>
      <c r="E77" s="6"/>
      <c r="F77" s="6"/>
      <c r="G77" s="6"/>
    </row>
    <row r="78" ht="12.75" customHeight="1">
      <c r="A78" s="6"/>
      <c r="B78" s="6"/>
      <c r="C78" s="6"/>
      <c r="D78" s="6"/>
      <c r="E78" s="6"/>
      <c r="F78" s="6"/>
      <c r="G78" s="6"/>
    </row>
    <row r="79" ht="12.75" customHeight="1">
      <c r="A79" s="6"/>
      <c r="B79" s="6"/>
      <c r="C79" s="6"/>
      <c r="D79" s="6"/>
      <c r="E79" s="6"/>
      <c r="F79" s="6"/>
      <c r="G79" s="6"/>
    </row>
    <row r="80" ht="12.75" customHeight="1">
      <c r="A80" s="6"/>
      <c r="B80" s="6"/>
      <c r="C80" s="6"/>
      <c r="D80" s="6"/>
      <c r="E80" s="6"/>
      <c r="F80" s="6"/>
      <c r="G80" s="6"/>
    </row>
    <row r="81" ht="12.75" customHeight="1">
      <c r="A81" s="6"/>
      <c r="B81" s="6"/>
      <c r="C81" s="6"/>
      <c r="D81" s="6"/>
      <c r="E81" s="6"/>
      <c r="F81" s="6"/>
      <c r="G81" s="6"/>
    </row>
    <row r="82" ht="12.75" customHeight="1">
      <c r="A82" s="6"/>
      <c r="B82" s="6"/>
      <c r="C82" s="6"/>
      <c r="D82" s="6"/>
      <c r="E82" s="6"/>
      <c r="F82" s="6"/>
      <c r="G82" s="6"/>
    </row>
    <row r="83" ht="12.75" customHeight="1">
      <c r="A83" s="6"/>
      <c r="B83" s="6"/>
      <c r="C83" s="6"/>
      <c r="D83" s="6"/>
      <c r="E83" s="6"/>
      <c r="F83" s="6"/>
      <c r="G83" s="6"/>
    </row>
    <row r="84" ht="12.75" customHeight="1">
      <c r="A84" s="6"/>
      <c r="B84" s="6"/>
      <c r="C84" s="6"/>
      <c r="D84" s="6"/>
      <c r="E84" s="6"/>
      <c r="F84" s="6"/>
      <c r="G84" s="6"/>
    </row>
    <row r="85" ht="12.75" customHeight="1">
      <c r="A85" s="6"/>
      <c r="B85" s="6"/>
      <c r="C85" s="6"/>
      <c r="D85" s="6"/>
      <c r="E85" s="6"/>
      <c r="F85" s="6"/>
      <c r="G85" s="6"/>
    </row>
    <row r="86" ht="12.75" customHeight="1">
      <c r="A86" s="6"/>
      <c r="B86" s="6"/>
      <c r="C86" s="6"/>
      <c r="D86" s="6"/>
      <c r="E86" s="6"/>
      <c r="F86" s="6"/>
      <c r="G86" s="6"/>
    </row>
    <row r="87" ht="12.75" customHeight="1">
      <c r="A87" s="6"/>
      <c r="B87" s="6"/>
      <c r="C87" s="6"/>
      <c r="D87" s="6"/>
      <c r="E87" s="6"/>
      <c r="F87" s="6"/>
      <c r="G87" s="6"/>
    </row>
    <row r="88" ht="12.75" customHeight="1">
      <c r="A88" s="6"/>
      <c r="B88" s="6"/>
      <c r="C88" s="6"/>
      <c r="D88" s="6"/>
      <c r="E88" s="6"/>
      <c r="F88" s="6"/>
      <c r="G88" s="6"/>
    </row>
    <row r="89" ht="12.75" customHeight="1">
      <c r="A89" s="6"/>
      <c r="B89" s="6"/>
      <c r="C89" s="6"/>
      <c r="D89" s="6"/>
      <c r="E89" s="6"/>
      <c r="F89" s="6"/>
      <c r="G89" s="6"/>
    </row>
    <row r="90" ht="12.75" customHeight="1">
      <c r="A90" s="6"/>
      <c r="B90" s="6"/>
      <c r="C90" s="6"/>
      <c r="D90" s="6"/>
      <c r="E90" s="6"/>
      <c r="F90" s="6"/>
      <c r="G90" s="6"/>
    </row>
    <row r="91" ht="12.75" customHeight="1">
      <c r="A91" s="6"/>
      <c r="B91" s="6"/>
      <c r="C91" s="6"/>
      <c r="D91" s="6"/>
      <c r="E91" s="6"/>
      <c r="F91" s="6"/>
      <c r="G91" s="6"/>
    </row>
    <row r="92" ht="12.75" customHeight="1">
      <c r="A92" s="6"/>
      <c r="B92" s="6"/>
      <c r="C92" s="6"/>
      <c r="D92" s="6"/>
      <c r="E92" s="6"/>
      <c r="F92" s="6"/>
      <c r="G92" s="6"/>
    </row>
    <row r="93" ht="12.75" customHeight="1">
      <c r="A93" s="6"/>
      <c r="B93" s="6"/>
      <c r="C93" s="6"/>
      <c r="D93" s="6"/>
      <c r="E93" s="6"/>
      <c r="F93" s="6"/>
      <c r="G93" s="6"/>
    </row>
    <row r="94" ht="12.75" customHeight="1">
      <c r="A94" s="6"/>
      <c r="B94" s="6"/>
      <c r="C94" s="6"/>
      <c r="D94" s="6"/>
      <c r="E94" s="6"/>
      <c r="F94" s="6"/>
      <c r="G94" s="6"/>
    </row>
    <row r="95" ht="12.75" customHeight="1">
      <c r="A95" s="6"/>
      <c r="B95" s="6"/>
      <c r="C95" s="6"/>
      <c r="D95" s="6"/>
      <c r="E95" s="6"/>
      <c r="F95" s="6"/>
      <c r="G95" s="6"/>
    </row>
    <row r="96" ht="12.75" customHeight="1">
      <c r="A96" s="6"/>
      <c r="B96" s="6"/>
      <c r="C96" s="6"/>
      <c r="D96" s="6"/>
      <c r="E96" s="6"/>
      <c r="F96" s="6"/>
      <c r="G96" s="6"/>
    </row>
    <row r="97" ht="12.75" customHeight="1">
      <c r="A97" s="6"/>
      <c r="B97" s="6"/>
      <c r="C97" s="6"/>
      <c r="D97" s="6"/>
      <c r="E97" s="6"/>
      <c r="F97" s="6"/>
      <c r="G97" s="6"/>
    </row>
    <row r="98" ht="12.75" customHeight="1">
      <c r="A98" s="6"/>
      <c r="B98" s="6"/>
      <c r="C98" s="6"/>
      <c r="D98" s="6"/>
      <c r="E98" s="6"/>
      <c r="F98" s="6"/>
      <c r="G98" s="6"/>
    </row>
    <row r="99" ht="12.75" customHeight="1">
      <c r="A99" s="6"/>
      <c r="B99" s="6"/>
      <c r="C99" s="6"/>
      <c r="D99" s="6"/>
      <c r="E99" s="6"/>
      <c r="F99" s="6"/>
      <c r="G99" s="6"/>
    </row>
    <row r="100" ht="12.75" customHeight="1">
      <c r="A100" s="6"/>
      <c r="B100" s="6"/>
      <c r="C100" s="6"/>
      <c r="D100" s="6"/>
      <c r="E100" s="6"/>
      <c r="F100" s="6"/>
      <c r="G100" s="6"/>
    </row>
    <row r="101" ht="12.75" customHeight="1">
      <c r="A101" s="6"/>
      <c r="B101" s="6"/>
      <c r="C101" s="6"/>
      <c r="D101" s="6"/>
      <c r="E101" s="6"/>
      <c r="F101" s="6"/>
      <c r="G101" s="6"/>
    </row>
    <row r="102" ht="12.75" customHeight="1">
      <c r="A102" s="6"/>
      <c r="B102" s="6"/>
      <c r="C102" s="6"/>
      <c r="D102" s="6"/>
      <c r="E102" s="6"/>
      <c r="F102" s="6"/>
      <c r="G102" s="6"/>
    </row>
    <row r="103" ht="12.75" customHeight="1">
      <c r="A103" s="6"/>
      <c r="B103" s="6"/>
      <c r="C103" s="6"/>
      <c r="D103" s="6"/>
      <c r="E103" s="6"/>
      <c r="F103" s="6"/>
      <c r="G103" s="6"/>
    </row>
    <row r="104" ht="12.75" customHeight="1">
      <c r="A104" s="6"/>
      <c r="B104" s="6"/>
      <c r="C104" s="6"/>
      <c r="D104" s="6"/>
      <c r="E104" s="6"/>
      <c r="F104" s="6"/>
      <c r="G104" s="6"/>
    </row>
    <row r="105" ht="12.75" customHeight="1">
      <c r="A105" s="6"/>
      <c r="B105" s="6"/>
      <c r="C105" s="6"/>
      <c r="D105" s="6"/>
      <c r="E105" s="6"/>
      <c r="F105" s="6"/>
      <c r="G105" s="6"/>
    </row>
    <row r="106" ht="12.75" customHeight="1">
      <c r="A106" s="6"/>
      <c r="B106" s="6"/>
      <c r="C106" s="6"/>
      <c r="D106" s="6"/>
      <c r="E106" s="6"/>
      <c r="F106" s="6"/>
      <c r="G106" s="6"/>
    </row>
    <row r="107" ht="12.75" customHeight="1">
      <c r="A107" s="6"/>
      <c r="B107" s="6"/>
      <c r="C107" s="6"/>
      <c r="D107" s="6"/>
      <c r="E107" s="6"/>
      <c r="F107" s="6"/>
      <c r="G107" s="6"/>
    </row>
    <row r="108" ht="12.75" customHeight="1">
      <c r="A108" s="6"/>
      <c r="B108" s="6"/>
      <c r="C108" s="6"/>
      <c r="D108" s="6"/>
      <c r="E108" s="6"/>
      <c r="F108" s="6"/>
      <c r="G108" s="6"/>
    </row>
    <row r="109" ht="12.75" customHeight="1">
      <c r="A109" s="6"/>
      <c r="B109" s="6"/>
      <c r="C109" s="6"/>
      <c r="D109" s="6"/>
      <c r="E109" s="6"/>
      <c r="F109" s="6"/>
      <c r="G109" s="6"/>
    </row>
    <row r="110" ht="12.75" customHeight="1">
      <c r="A110" s="6"/>
      <c r="B110" s="6"/>
      <c r="C110" s="6"/>
      <c r="D110" s="6"/>
      <c r="E110" s="6"/>
      <c r="F110" s="6"/>
      <c r="G110" s="6"/>
    </row>
    <row r="111" ht="12.75" customHeight="1">
      <c r="A111" s="6"/>
      <c r="B111" s="6"/>
      <c r="C111" s="6"/>
      <c r="D111" s="6"/>
      <c r="E111" s="6"/>
      <c r="F111" s="6"/>
      <c r="G111" s="6"/>
    </row>
    <row r="112" ht="12.75" customHeight="1">
      <c r="A112" s="6"/>
      <c r="B112" s="6"/>
      <c r="C112" s="6"/>
      <c r="D112" s="6"/>
      <c r="E112" s="6"/>
      <c r="F112" s="6"/>
      <c r="G112" s="6"/>
    </row>
    <row r="113" ht="12.75" customHeight="1">
      <c r="A113" s="6"/>
      <c r="B113" s="6"/>
      <c r="C113" s="6"/>
      <c r="D113" s="6"/>
      <c r="E113" s="6"/>
      <c r="F113" s="6"/>
      <c r="G113" s="6"/>
    </row>
    <row r="114" ht="12.75" customHeight="1">
      <c r="A114" s="6"/>
      <c r="B114" s="6"/>
      <c r="C114" s="6"/>
      <c r="D114" s="6"/>
      <c r="E114" s="6"/>
      <c r="F114" s="6"/>
      <c r="G114" s="6"/>
    </row>
    <row r="115" ht="12.75" customHeight="1">
      <c r="A115" s="6"/>
      <c r="B115" s="6"/>
      <c r="C115" s="6"/>
      <c r="D115" s="6"/>
      <c r="E115" s="6"/>
      <c r="F115" s="6"/>
      <c r="G115" s="6"/>
    </row>
    <row r="116" ht="12.75" customHeight="1">
      <c r="A116" s="6"/>
      <c r="B116" s="6"/>
      <c r="C116" s="6"/>
      <c r="D116" s="6"/>
      <c r="E116" s="6"/>
      <c r="F116" s="6"/>
      <c r="G116" s="6"/>
    </row>
    <row r="117" ht="12.75" customHeight="1">
      <c r="A117" s="6"/>
      <c r="B117" s="6"/>
      <c r="C117" s="6"/>
      <c r="D117" s="6"/>
      <c r="E117" s="6"/>
      <c r="F117" s="6"/>
      <c r="G117" s="6"/>
    </row>
    <row r="118" ht="12.75" customHeight="1">
      <c r="A118" s="6"/>
      <c r="B118" s="6"/>
      <c r="C118" s="6"/>
      <c r="D118" s="6"/>
      <c r="E118" s="6"/>
      <c r="F118" s="6"/>
      <c r="G118" s="6"/>
    </row>
    <row r="119" ht="12.75" customHeight="1">
      <c r="A119" s="6"/>
      <c r="B119" s="6"/>
      <c r="C119" s="6"/>
      <c r="D119" s="6"/>
      <c r="E119" s="6"/>
      <c r="F119" s="6"/>
      <c r="G119" s="6"/>
    </row>
    <row r="120" ht="12.75" customHeight="1">
      <c r="A120" s="6"/>
      <c r="B120" s="6"/>
      <c r="C120" s="6"/>
      <c r="D120" s="6"/>
      <c r="E120" s="6"/>
      <c r="F120" s="6"/>
      <c r="G120" s="6"/>
    </row>
    <row r="121" ht="12.75" customHeight="1">
      <c r="A121" s="6"/>
      <c r="B121" s="6"/>
      <c r="C121" s="6"/>
      <c r="D121" s="6"/>
      <c r="E121" s="6"/>
      <c r="F121" s="6"/>
      <c r="G121" s="6"/>
    </row>
    <row r="122" ht="12.75" customHeight="1">
      <c r="A122" s="6"/>
      <c r="B122" s="6"/>
      <c r="C122" s="6"/>
      <c r="D122" s="6"/>
      <c r="E122" s="6"/>
      <c r="F122" s="6"/>
      <c r="G122" s="6"/>
    </row>
    <row r="123" ht="12.75" customHeight="1">
      <c r="A123" s="6"/>
      <c r="B123" s="6"/>
      <c r="C123" s="6"/>
      <c r="D123" s="6"/>
      <c r="E123" s="6"/>
      <c r="F123" s="6"/>
      <c r="G123" s="6"/>
    </row>
    <row r="124" ht="12.75" customHeight="1">
      <c r="A124" s="6"/>
      <c r="B124" s="6"/>
      <c r="C124" s="6"/>
      <c r="D124" s="6"/>
      <c r="E124" s="6"/>
      <c r="F124" s="6"/>
      <c r="G124" s="6"/>
    </row>
    <row r="125" ht="12.75" customHeight="1">
      <c r="A125" s="6"/>
      <c r="B125" s="6"/>
      <c r="C125" s="6"/>
      <c r="D125" s="6"/>
      <c r="E125" s="6"/>
      <c r="F125" s="6"/>
      <c r="G125" s="6"/>
    </row>
    <row r="126" ht="12.75" customHeight="1">
      <c r="A126" s="6"/>
      <c r="B126" s="6"/>
      <c r="C126" s="6"/>
      <c r="D126" s="6"/>
      <c r="E126" s="6"/>
      <c r="F126" s="6"/>
      <c r="G126" s="6"/>
    </row>
    <row r="127" ht="12.75" customHeight="1">
      <c r="A127" s="6"/>
      <c r="B127" s="6"/>
      <c r="C127" s="6"/>
      <c r="D127" s="6"/>
      <c r="E127" s="6"/>
      <c r="F127" s="6"/>
      <c r="G127" s="6"/>
    </row>
    <row r="128" ht="12.75" customHeight="1">
      <c r="A128" s="6"/>
      <c r="B128" s="6"/>
      <c r="C128" s="6"/>
      <c r="D128" s="6"/>
      <c r="E128" s="6"/>
      <c r="F128" s="6"/>
      <c r="G128" s="6"/>
    </row>
    <row r="129" ht="12.75" customHeight="1">
      <c r="A129" s="6"/>
      <c r="B129" s="6"/>
      <c r="C129" s="6"/>
      <c r="D129" s="6"/>
      <c r="E129" s="6"/>
      <c r="F129" s="6"/>
      <c r="G129" s="6"/>
    </row>
    <row r="130" ht="12.75" customHeight="1">
      <c r="A130" s="6"/>
      <c r="B130" s="6"/>
      <c r="C130" s="6"/>
      <c r="D130" s="6"/>
      <c r="E130" s="6"/>
      <c r="F130" s="6"/>
      <c r="G130" s="6"/>
    </row>
    <row r="131" ht="12.75" customHeight="1">
      <c r="A131" s="6"/>
      <c r="B131" s="6"/>
      <c r="C131" s="6"/>
      <c r="D131" s="6"/>
      <c r="E131" s="6"/>
      <c r="F131" s="6"/>
      <c r="G131" s="6"/>
    </row>
    <row r="132" ht="12.75" customHeight="1">
      <c r="A132" s="6"/>
      <c r="B132" s="6"/>
      <c r="C132" s="6"/>
      <c r="D132" s="6"/>
      <c r="E132" s="6"/>
      <c r="F132" s="6"/>
      <c r="G132" s="6"/>
    </row>
    <row r="133" ht="12.75" customHeight="1">
      <c r="A133" s="6"/>
      <c r="B133" s="6"/>
      <c r="C133" s="6"/>
      <c r="D133" s="6"/>
      <c r="E133" s="6"/>
      <c r="F133" s="6"/>
      <c r="G133" s="6"/>
    </row>
    <row r="134" ht="12.75" customHeight="1">
      <c r="A134" s="6"/>
      <c r="B134" s="6"/>
      <c r="C134" s="6"/>
      <c r="D134" s="6"/>
      <c r="E134" s="6"/>
      <c r="F134" s="6"/>
      <c r="G134" s="6"/>
    </row>
    <row r="135" ht="12.75" customHeight="1">
      <c r="A135" s="6"/>
      <c r="B135" s="6"/>
      <c r="C135" s="6"/>
      <c r="D135" s="6"/>
      <c r="E135" s="6"/>
      <c r="F135" s="6"/>
      <c r="G135" s="6"/>
    </row>
    <row r="136" ht="12.75" customHeight="1">
      <c r="A136" s="6"/>
      <c r="B136" s="6"/>
      <c r="C136" s="6"/>
      <c r="D136" s="6"/>
      <c r="E136" s="6"/>
      <c r="F136" s="6"/>
      <c r="G136" s="6"/>
    </row>
    <row r="137" ht="12.75" customHeight="1">
      <c r="A137" s="6"/>
      <c r="B137" s="6"/>
      <c r="C137" s="6"/>
      <c r="D137" s="6"/>
      <c r="E137" s="6"/>
      <c r="F137" s="6"/>
      <c r="G137" s="6"/>
    </row>
    <row r="138" ht="12.75" customHeight="1">
      <c r="A138" s="6"/>
      <c r="B138" s="6"/>
      <c r="C138" s="6"/>
      <c r="D138" s="6"/>
      <c r="E138" s="6"/>
      <c r="F138" s="6"/>
      <c r="G138" s="6"/>
    </row>
    <row r="139" ht="12.75" customHeight="1">
      <c r="A139" s="6"/>
      <c r="B139" s="6"/>
      <c r="C139" s="6"/>
      <c r="D139" s="6"/>
      <c r="E139" s="6"/>
      <c r="F139" s="6"/>
      <c r="G139" s="6"/>
    </row>
    <row r="140" ht="12.75" customHeight="1">
      <c r="A140" s="6"/>
      <c r="B140" s="6"/>
      <c r="C140" s="6"/>
      <c r="D140" s="6"/>
      <c r="E140" s="6"/>
      <c r="F140" s="6"/>
      <c r="G140" s="6"/>
    </row>
    <row r="141" ht="12.75" customHeight="1">
      <c r="A141" s="6"/>
      <c r="B141" s="6"/>
      <c r="C141" s="6"/>
      <c r="D141" s="6"/>
      <c r="E141" s="6"/>
      <c r="F141" s="6"/>
      <c r="G141" s="6"/>
    </row>
    <row r="142" ht="12.75" customHeight="1">
      <c r="A142" s="6"/>
      <c r="B142" s="6"/>
      <c r="C142" s="6"/>
      <c r="D142" s="6"/>
      <c r="E142" s="6"/>
      <c r="F142" s="6"/>
      <c r="G142" s="6"/>
    </row>
    <row r="143" ht="12.75" customHeight="1">
      <c r="A143" s="6"/>
      <c r="B143" s="6"/>
      <c r="C143" s="6"/>
      <c r="D143" s="6"/>
      <c r="E143" s="6"/>
      <c r="F143" s="6"/>
      <c r="G143" s="6"/>
    </row>
    <row r="144" ht="12.75" customHeight="1">
      <c r="A144" s="6"/>
      <c r="B144" s="6"/>
      <c r="C144" s="6"/>
      <c r="D144" s="6"/>
      <c r="E144" s="6"/>
      <c r="F144" s="6"/>
      <c r="G144" s="6"/>
    </row>
    <row r="145" ht="12.75" customHeight="1">
      <c r="A145" s="6"/>
      <c r="B145" s="6"/>
      <c r="C145" s="6"/>
      <c r="D145" s="6"/>
      <c r="E145" s="6"/>
      <c r="F145" s="6"/>
      <c r="G145" s="6"/>
    </row>
    <row r="146" ht="12.75" customHeight="1">
      <c r="A146" s="6"/>
      <c r="B146" s="6"/>
      <c r="C146" s="6"/>
      <c r="D146" s="6"/>
      <c r="E146" s="6"/>
      <c r="F146" s="6"/>
      <c r="G146" s="6"/>
    </row>
    <row r="147" ht="12.75" customHeight="1">
      <c r="A147" s="6"/>
      <c r="B147" s="6"/>
      <c r="C147" s="6"/>
      <c r="D147" s="6"/>
      <c r="E147" s="6"/>
      <c r="F147" s="6"/>
      <c r="G147" s="6"/>
    </row>
    <row r="148" ht="12.75" customHeight="1">
      <c r="A148" s="6"/>
      <c r="B148" s="6"/>
      <c r="C148" s="6"/>
      <c r="D148" s="6"/>
      <c r="E148" s="6"/>
      <c r="F148" s="6"/>
      <c r="G148" s="6"/>
    </row>
    <row r="149" ht="12.75" customHeight="1">
      <c r="A149" s="6"/>
      <c r="B149" s="6"/>
      <c r="C149" s="6"/>
      <c r="D149" s="6"/>
      <c r="E149" s="6"/>
      <c r="F149" s="6"/>
      <c r="G149" s="6"/>
    </row>
    <row r="150" ht="12.75" customHeight="1">
      <c r="A150" s="6"/>
      <c r="B150" s="6"/>
      <c r="C150" s="6"/>
      <c r="D150" s="6"/>
      <c r="E150" s="6"/>
      <c r="F150" s="6"/>
      <c r="G150" s="6"/>
    </row>
    <row r="151" ht="12.75" customHeight="1">
      <c r="A151" s="6"/>
      <c r="B151" s="6"/>
      <c r="C151" s="6"/>
      <c r="D151" s="6"/>
      <c r="E151" s="6"/>
      <c r="F151" s="6"/>
      <c r="G151" s="6"/>
    </row>
    <row r="152" ht="12.75" customHeight="1">
      <c r="A152" s="6"/>
      <c r="B152" s="6"/>
      <c r="C152" s="6"/>
      <c r="D152" s="6"/>
      <c r="E152" s="6"/>
      <c r="F152" s="6"/>
      <c r="G152" s="6"/>
    </row>
    <row r="153" ht="12.75" customHeight="1">
      <c r="A153" s="6"/>
      <c r="B153" s="6"/>
      <c r="C153" s="6"/>
      <c r="D153" s="6"/>
      <c r="E153" s="6"/>
      <c r="F153" s="6"/>
      <c r="G153" s="6"/>
    </row>
    <row r="154" ht="12.75" customHeight="1">
      <c r="A154" s="6"/>
      <c r="B154" s="6"/>
      <c r="C154" s="6"/>
      <c r="D154" s="6"/>
      <c r="E154" s="6"/>
      <c r="F154" s="6"/>
      <c r="G154" s="6"/>
    </row>
    <row r="155" ht="12.75" customHeight="1">
      <c r="A155" s="6"/>
      <c r="B155" s="6"/>
      <c r="C155" s="6"/>
      <c r="D155" s="6"/>
      <c r="E155" s="6"/>
      <c r="F155" s="6"/>
      <c r="G155" s="6"/>
    </row>
    <row r="156" ht="12.75" customHeight="1">
      <c r="A156" s="6"/>
      <c r="B156" s="6"/>
      <c r="C156" s="6"/>
      <c r="D156" s="6"/>
      <c r="E156" s="6"/>
      <c r="F156" s="6"/>
      <c r="G156" s="6"/>
    </row>
    <row r="157" ht="12.75" customHeight="1">
      <c r="A157" s="6"/>
      <c r="B157" s="6"/>
      <c r="C157" s="6"/>
      <c r="D157" s="6"/>
      <c r="E157" s="6"/>
      <c r="F157" s="6"/>
      <c r="G157" s="6"/>
    </row>
    <row r="158" ht="12.75" customHeight="1">
      <c r="A158" s="6"/>
      <c r="B158" s="6"/>
      <c r="C158" s="6"/>
      <c r="D158" s="6"/>
      <c r="E158" s="6"/>
      <c r="F158" s="6"/>
      <c r="G158" s="6"/>
    </row>
    <row r="159" ht="12.75" customHeight="1">
      <c r="A159" s="6"/>
      <c r="B159" s="6"/>
      <c r="C159" s="6"/>
      <c r="D159" s="6"/>
      <c r="E159" s="6"/>
      <c r="F159" s="6"/>
      <c r="G159" s="6"/>
    </row>
    <row r="160" ht="12.75" customHeight="1">
      <c r="A160" s="6"/>
      <c r="B160" s="6"/>
      <c r="C160" s="6"/>
      <c r="D160" s="6"/>
      <c r="E160" s="6"/>
      <c r="F160" s="6"/>
      <c r="G160" s="6"/>
    </row>
    <row r="161" ht="12.75" customHeight="1">
      <c r="A161" s="6"/>
      <c r="B161" s="6"/>
      <c r="C161" s="6"/>
      <c r="D161" s="6"/>
      <c r="E161" s="6"/>
      <c r="F161" s="6"/>
      <c r="G161" s="6"/>
    </row>
    <row r="162" ht="12.75" customHeight="1">
      <c r="A162" s="6"/>
      <c r="B162" s="6"/>
      <c r="C162" s="6"/>
      <c r="D162" s="6"/>
      <c r="E162" s="6"/>
      <c r="F162" s="6"/>
      <c r="G162" s="6"/>
    </row>
    <row r="163" ht="12.75" customHeight="1">
      <c r="A163" s="6"/>
      <c r="B163" s="6"/>
      <c r="C163" s="6"/>
      <c r="D163" s="6"/>
      <c r="E163" s="6"/>
      <c r="F163" s="6"/>
      <c r="G163" s="6"/>
    </row>
    <row r="164" ht="12.75" customHeight="1">
      <c r="A164" s="6"/>
      <c r="B164" s="6"/>
      <c r="C164" s="6"/>
      <c r="D164" s="6"/>
      <c r="E164" s="6"/>
      <c r="F164" s="6"/>
      <c r="G164" s="6"/>
    </row>
    <row r="165" ht="12.75" customHeight="1">
      <c r="A165" s="6"/>
      <c r="B165" s="6"/>
      <c r="C165" s="6"/>
      <c r="D165" s="6"/>
      <c r="E165" s="6"/>
      <c r="F165" s="6"/>
      <c r="G165" s="6"/>
    </row>
    <row r="166" ht="12.75" customHeight="1">
      <c r="A166" s="6"/>
      <c r="B166" s="6"/>
      <c r="C166" s="6"/>
      <c r="D166" s="6"/>
      <c r="E166" s="6"/>
      <c r="F166" s="6"/>
      <c r="G166" s="6"/>
    </row>
    <row r="167" ht="12.75" customHeight="1">
      <c r="A167" s="6"/>
      <c r="B167" s="6"/>
      <c r="C167" s="6"/>
      <c r="D167" s="6"/>
      <c r="E167" s="6"/>
      <c r="F167" s="6"/>
      <c r="G167" s="6"/>
    </row>
    <row r="168" ht="12.75" customHeight="1">
      <c r="A168" s="6"/>
      <c r="B168" s="6"/>
      <c r="C168" s="6"/>
      <c r="D168" s="6"/>
      <c r="E168" s="6"/>
      <c r="F168" s="6"/>
      <c r="G168" s="6"/>
    </row>
    <row r="169" ht="12.75" customHeight="1">
      <c r="A169" s="6"/>
      <c r="B169" s="6"/>
      <c r="C169" s="6"/>
      <c r="D169" s="6"/>
      <c r="E169" s="6"/>
      <c r="F169" s="6"/>
      <c r="G169" s="6"/>
    </row>
    <row r="170" ht="12.75" customHeight="1">
      <c r="A170" s="6"/>
      <c r="B170" s="6"/>
      <c r="C170" s="6"/>
      <c r="D170" s="6"/>
      <c r="E170" s="6"/>
      <c r="F170" s="6"/>
      <c r="G170" s="6"/>
    </row>
    <row r="171" ht="12.75" customHeight="1">
      <c r="A171" s="6"/>
      <c r="B171" s="6"/>
      <c r="C171" s="6"/>
      <c r="D171" s="6"/>
      <c r="E171" s="6"/>
      <c r="F171" s="6"/>
      <c r="G171" s="6"/>
    </row>
    <row r="172" ht="12.75" customHeight="1">
      <c r="A172" s="6"/>
      <c r="B172" s="6"/>
      <c r="C172" s="6"/>
      <c r="D172" s="6"/>
      <c r="E172" s="6"/>
      <c r="F172" s="6"/>
      <c r="G172" s="6"/>
    </row>
    <row r="173" ht="12.75" customHeight="1">
      <c r="A173" s="6"/>
      <c r="B173" s="6"/>
      <c r="C173" s="6"/>
      <c r="D173" s="6"/>
      <c r="E173" s="6"/>
      <c r="F173" s="6"/>
      <c r="G173" s="6"/>
    </row>
    <row r="174" ht="12.75" customHeight="1">
      <c r="A174" s="6"/>
      <c r="B174" s="6"/>
      <c r="C174" s="6"/>
      <c r="D174" s="6"/>
      <c r="E174" s="6"/>
      <c r="F174" s="6"/>
      <c r="G174" s="6"/>
    </row>
    <row r="175" ht="12.75" customHeight="1">
      <c r="A175" s="6"/>
      <c r="B175" s="6"/>
      <c r="C175" s="6"/>
      <c r="D175" s="6"/>
      <c r="E175" s="6"/>
      <c r="F175" s="6"/>
      <c r="G175" s="6"/>
    </row>
    <row r="176" ht="12.75" customHeight="1">
      <c r="A176" s="6"/>
      <c r="B176" s="6"/>
      <c r="C176" s="6"/>
      <c r="D176" s="6"/>
      <c r="E176" s="6"/>
      <c r="F176" s="6"/>
      <c r="G176" s="6"/>
    </row>
    <row r="177" ht="12.75" customHeight="1">
      <c r="A177" s="6"/>
      <c r="B177" s="6"/>
      <c r="C177" s="6"/>
      <c r="D177" s="6"/>
      <c r="E177" s="6"/>
      <c r="F177" s="6"/>
      <c r="G177" s="6"/>
    </row>
    <row r="178" ht="12.75" customHeight="1">
      <c r="A178" s="6"/>
      <c r="B178" s="6"/>
      <c r="C178" s="6"/>
      <c r="D178" s="6"/>
      <c r="E178" s="6"/>
      <c r="F178" s="6"/>
      <c r="G178" s="6"/>
    </row>
    <row r="179" ht="12.75" customHeight="1">
      <c r="A179" s="6"/>
      <c r="B179" s="6"/>
      <c r="C179" s="6"/>
      <c r="D179" s="6"/>
      <c r="E179" s="6"/>
      <c r="F179" s="6"/>
      <c r="G179" s="6"/>
    </row>
    <row r="180" ht="12.75" customHeight="1">
      <c r="A180" s="6"/>
      <c r="B180" s="6"/>
      <c r="C180" s="6"/>
      <c r="D180" s="6"/>
      <c r="E180" s="6"/>
      <c r="F180" s="6"/>
      <c r="G180" s="6"/>
    </row>
    <row r="181" ht="12.75" customHeight="1">
      <c r="A181" s="6"/>
      <c r="B181" s="6"/>
      <c r="C181" s="6"/>
      <c r="D181" s="6"/>
      <c r="E181" s="6"/>
      <c r="F181" s="6"/>
      <c r="G181" s="6"/>
    </row>
    <row r="182" ht="12.75" customHeight="1">
      <c r="A182" s="6"/>
      <c r="B182" s="6"/>
      <c r="C182" s="6"/>
      <c r="D182" s="6"/>
      <c r="E182" s="6"/>
      <c r="F182" s="6"/>
      <c r="G182" s="6"/>
    </row>
    <row r="183" ht="12.75" customHeight="1">
      <c r="A183" s="6"/>
      <c r="B183" s="6"/>
      <c r="C183" s="6"/>
      <c r="D183" s="6"/>
      <c r="E183" s="6"/>
      <c r="F183" s="6"/>
      <c r="G183" s="6"/>
    </row>
    <row r="184" ht="12.75" customHeight="1">
      <c r="A184" s="6"/>
      <c r="B184" s="6"/>
      <c r="C184" s="6"/>
      <c r="D184" s="6"/>
      <c r="E184" s="6"/>
      <c r="F184" s="6"/>
      <c r="G184" s="6"/>
    </row>
    <row r="185" ht="12.75" customHeight="1">
      <c r="A185" s="6"/>
      <c r="B185" s="6"/>
      <c r="C185" s="6"/>
      <c r="D185" s="6"/>
      <c r="E185" s="6"/>
      <c r="F185" s="6"/>
      <c r="G185" s="6"/>
    </row>
    <row r="186" ht="12.75" customHeight="1">
      <c r="A186" s="6"/>
      <c r="B186" s="6"/>
      <c r="C186" s="6"/>
      <c r="D186" s="6"/>
      <c r="E186" s="6"/>
      <c r="F186" s="6"/>
      <c r="G186" s="6"/>
    </row>
    <row r="187" ht="12.75" customHeight="1">
      <c r="A187" s="6"/>
      <c r="B187" s="6"/>
      <c r="C187" s="6"/>
      <c r="D187" s="6"/>
      <c r="E187" s="6"/>
      <c r="F187" s="6"/>
      <c r="G187" s="6"/>
    </row>
    <row r="188" ht="12.75" customHeight="1">
      <c r="A188" s="6"/>
      <c r="B188" s="6"/>
      <c r="C188" s="6"/>
      <c r="D188" s="6"/>
      <c r="E188" s="6"/>
      <c r="F188" s="6"/>
      <c r="G188" s="6"/>
    </row>
    <row r="189" ht="12.75" customHeight="1">
      <c r="A189" s="6"/>
      <c r="B189" s="6"/>
      <c r="C189" s="6"/>
      <c r="D189" s="6"/>
      <c r="E189" s="6"/>
      <c r="F189" s="6"/>
      <c r="G189" s="6"/>
    </row>
    <row r="190" ht="12.75" customHeight="1">
      <c r="A190" s="6"/>
      <c r="B190" s="6"/>
      <c r="C190" s="6"/>
      <c r="D190" s="6"/>
      <c r="E190" s="6"/>
      <c r="F190" s="6"/>
      <c r="G190" s="6"/>
    </row>
    <row r="191" ht="12.75" customHeight="1">
      <c r="A191" s="6"/>
      <c r="B191" s="6"/>
      <c r="C191" s="6"/>
      <c r="D191" s="6"/>
      <c r="E191" s="6"/>
      <c r="F191" s="6"/>
      <c r="G191" s="6"/>
    </row>
    <row r="192" ht="12.75" customHeight="1">
      <c r="A192" s="6"/>
      <c r="B192" s="6"/>
      <c r="C192" s="6"/>
      <c r="D192" s="6"/>
      <c r="E192" s="6"/>
      <c r="F192" s="6"/>
      <c r="G192" s="6"/>
    </row>
    <row r="193" ht="12.75" customHeight="1">
      <c r="A193" s="6"/>
      <c r="B193" s="6"/>
      <c r="C193" s="6"/>
      <c r="D193" s="6"/>
      <c r="E193" s="6"/>
      <c r="F193" s="6"/>
      <c r="G193" s="6"/>
    </row>
    <row r="194" ht="12.75" customHeight="1">
      <c r="A194" s="6"/>
      <c r="B194" s="6"/>
      <c r="C194" s="6"/>
      <c r="D194" s="6"/>
      <c r="E194" s="6"/>
      <c r="F194" s="6"/>
      <c r="G194" s="6"/>
    </row>
    <row r="195" ht="12.75" customHeight="1">
      <c r="A195" s="6"/>
      <c r="B195" s="6"/>
      <c r="C195" s="6"/>
      <c r="D195" s="6"/>
      <c r="E195" s="6"/>
      <c r="F195" s="6"/>
      <c r="G195" s="6"/>
    </row>
    <row r="196" ht="12.75" customHeight="1">
      <c r="A196" s="6"/>
      <c r="B196" s="6"/>
      <c r="C196" s="6"/>
      <c r="D196" s="6"/>
      <c r="E196" s="6"/>
      <c r="F196" s="6"/>
      <c r="G196" s="6"/>
    </row>
    <row r="197" ht="12.75" customHeight="1">
      <c r="A197" s="6"/>
      <c r="B197" s="6"/>
      <c r="C197" s="6"/>
      <c r="D197" s="6"/>
      <c r="E197" s="6"/>
      <c r="F197" s="6"/>
      <c r="G197" s="6"/>
    </row>
    <row r="198" ht="12.75" customHeight="1">
      <c r="A198" s="6"/>
      <c r="B198" s="6"/>
      <c r="C198" s="6"/>
      <c r="D198" s="6"/>
      <c r="E198" s="6"/>
      <c r="F198" s="6"/>
      <c r="G198" s="6"/>
    </row>
    <row r="199" ht="12.75" customHeight="1">
      <c r="A199" s="6"/>
      <c r="B199" s="6"/>
      <c r="C199" s="6"/>
      <c r="D199" s="6"/>
      <c r="E199" s="6"/>
      <c r="F199" s="6"/>
      <c r="G199" s="6"/>
    </row>
    <row r="200" ht="12.75" customHeight="1">
      <c r="A200" s="6"/>
      <c r="B200" s="6"/>
      <c r="C200" s="6"/>
      <c r="D200" s="6"/>
      <c r="E200" s="6"/>
      <c r="F200" s="6"/>
      <c r="G200" s="6"/>
    </row>
    <row r="201" ht="12.75" customHeight="1">
      <c r="A201" s="6"/>
      <c r="B201" s="6"/>
      <c r="C201" s="6"/>
      <c r="D201" s="6"/>
      <c r="E201" s="6"/>
      <c r="F201" s="6"/>
      <c r="G201" s="6"/>
    </row>
    <row r="202" ht="12.75" customHeight="1">
      <c r="A202" s="6"/>
      <c r="B202" s="6"/>
      <c r="C202" s="6"/>
      <c r="D202" s="6"/>
      <c r="E202" s="6"/>
      <c r="F202" s="6"/>
      <c r="G202" s="6"/>
    </row>
    <row r="203" ht="12.75" customHeight="1">
      <c r="A203" s="6"/>
      <c r="B203" s="6"/>
      <c r="C203" s="6"/>
      <c r="D203" s="6"/>
      <c r="E203" s="6"/>
      <c r="F203" s="6"/>
      <c r="G203" s="6"/>
    </row>
    <row r="204" ht="12.75" customHeight="1">
      <c r="A204" s="6"/>
      <c r="B204" s="6"/>
      <c r="C204" s="6"/>
      <c r="D204" s="6"/>
      <c r="E204" s="6"/>
      <c r="F204" s="6"/>
      <c r="G204" s="6"/>
    </row>
    <row r="205" ht="12.75" customHeight="1">
      <c r="A205" s="6"/>
      <c r="B205" s="6"/>
      <c r="C205" s="6"/>
      <c r="D205" s="6"/>
      <c r="E205" s="6"/>
      <c r="F205" s="6"/>
      <c r="G205" s="6"/>
    </row>
    <row r="206" ht="12.75" customHeight="1">
      <c r="A206" s="6"/>
      <c r="B206" s="6"/>
      <c r="C206" s="6"/>
      <c r="D206" s="6"/>
      <c r="E206" s="6"/>
      <c r="F206" s="6"/>
      <c r="G206" s="6"/>
    </row>
    <row r="207" ht="12.75" customHeight="1">
      <c r="A207" s="6"/>
      <c r="B207" s="6"/>
      <c r="C207" s="6"/>
      <c r="D207" s="6"/>
      <c r="E207" s="6"/>
      <c r="F207" s="6"/>
      <c r="G207" s="6"/>
    </row>
    <row r="208" ht="12.75" customHeight="1">
      <c r="A208" s="6"/>
      <c r="B208" s="6"/>
      <c r="C208" s="6"/>
      <c r="D208" s="6"/>
      <c r="E208" s="6"/>
      <c r="F208" s="6"/>
      <c r="G208" s="6"/>
    </row>
    <row r="209" ht="12.75" customHeight="1">
      <c r="A209" s="6"/>
      <c r="B209" s="6"/>
      <c r="C209" s="6"/>
      <c r="D209" s="6"/>
      <c r="E209" s="6"/>
      <c r="F209" s="6"/>
      <c r="G209" s="6"/>
    </row>
    <row r="210" ht="12.75" customHeight="1">
      <c r="A210" s="6"/>
      <c r="B210" s="6"/>
      <c r="C210" s="6"/>
      <c r="D210" s="6"/>
      <c r="E210" s="6"/>
      <c r="F210" s="6"/>
      <c r="G210" s="6"/>
    </row>
    <row r="211" ht="12.75" customHeight="1">
      <c r="A211" s="6"/>
      <c r="B211" s="6"/>
      <c r="C211" s="6"/>
      <c r="D211" s="6"/>
      <c r="E211" s="6"/>
      <c r="F211" s="6"/>
      <c r="G211" s="6"/>
    </row>
    <row r="212" ht="12.75" customHeight="1">
      <c r="A212" s="6"/>
      <c r="B212" s="6"/>
      <c r="C212" s="6"/>
      <c r="D212" s="6"/>
      <c r="E212" s="6"/>
      <c r="F212" s="6"/>
      <c r="G212" s="6"/>
    </row>
    <row r="213" ht="12.75" customHeight="1">
      <c r="A213" s="6"/>
      <c r="B213" s="6"/>
      <c r="C213" s="6"/>
      <c r="D213" s="6"/>
      <c r="E213" s="6"/>
      <c r="F213" s="6"/>
      <c r="G213" s="6"/>
    </row>
    <row r="214" ht="12.75" customHeight="1">
      <c r="A214" s="6"/>
      <c r="B214" s="6"/>
      <c r="C214" s="6"/>
      <c r="D214" s="6"/>
      <c r="E214" s="6"/>
      <c r="F214" s="6"/>
      <c r="G214" s="6"/>
    </row>
    <row r="215" ht="12.75" customHeight="1">
      <c r="A215" s="6"/>
      <c r="B215" s="6"/>
      <c r="C215" s="6"/>
      <c r="D215" s="6"/>
      <c r="E215" s="6"/>
      <c r="F215" s="6"/>
      <c r="G215" s="6"/>
    </row>
    <row r="216" ht="12.75" customHeight="1">
      <c r="A216" s="6"/>
      <c r="B216" s="6"/>
      <c r="C216" s="6"/>
      <c r="D216" s="6"/>
      <c r="E216" s="6"/>
      <c r="F216" s="6"/>
      <c r="G216" s="6"/>
    </row>
    <row r="217" ht="12.75" customHeight="1">
      <c r="A217" s="6"/>
      <c r="B217" s="6"/>
      <c r="C217" s="6"/>
      <c r="D217" s="6"/>
      <c r="E217" s="6"/>
      <c r="F217" s="6"/>
      <c r="G217" s="6"/>
    </row>
    <row r="218" ht="12.75" customHeight="1">
      <c r="A218" s="6"/>
      <c r="B218" s="6"/>
      <c r="C218" s="6"/>
      <c r="D218" s="6"/>
      <c r="E218" s="6"/>
      <c r="F218" s="6"/>
      <c r="G218" s="6"/>
    </row>
    <row r="219" ht="12.75" customHeight="1">
      <c r="A219" s="6"/>
      <c r="B219" s="6"/>
      <c r="C219" s="6"/>
      <c r="D219" s="6"/>
      <c r="E219" s="6"/>
      <c r="F219" s="6"/>
      <c r="G219" s="6"/>
    </row>
    <row r="220" ht="12.75" customHeight="1">
      <c r="A220" s="6"/>
      <c r="B220" s="6"/>
      <c r="C220" s="6"/>
      <c r="D220" s="6"/>
      <c r="E220" s="6"/>
      <c r="F220" s="6"/>
      <c r="G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1:E13"/>
  </mergeCells>
  <conditionalFormatting sqref="A12">
    <cfRule type="expression" dxfId="4" priority="1">
      <formula>A12=0</formula>
    </cfRule>
  </conditionalFormatting>
  <conditionalFormatting sqref="A12">
    <cfRule type="expression" dxfId="5" priority="2">
      <formula>AND(A12&gt;0, A12&lt;0.2)</formula>
    </cfRule>
  </conditionalFormatting>
  <conditionalFormatting sqref="A12">
    <cfRule type="expression" dxfId="6" priority="3">
      <formula>AND(A12&gt;=0.2, A12 &lt;0.5)</formula>
    </cfRule>
  </conditionalFormatting>
  <conditionalFormatting sqref="A12">
    <cfRule type="expression" dxfId="7" priority="4">
      <formula>AND(A12&gt;=0.5, A12 &lt;0.7)</formula>
    </cfRule>
  </conditionalFormatting>
  <conditionalFormatting sqref="A12">
    <cfRule type="expression" dxfId="8" priority="5">
      <formula>AND(A12&gt;=0.7, A12 &lt;0.9)</formula>
    </cfRule>
  </conditionalFormatting>
  <conditionalFormatting sqref="A12">
    <cfRule type="expression" dxfId="9" priority="6">
      <formula>AND(A12&gt;=0.9, A12 &lt;=1)</formula>
    </cfRule>
  </conditionalFormatting>
  <conditionalFormatting sqref="E2:E9">
    <cfRule type="expression" dxfId="10" priority="7">
      <formula>E2=0</formula>
    </cfRule>
  </conditionalFormatting>
  <conditionalFormatting sqref="E2:E9">
    <cfRule type="expression" dxfId="11" priority="8">
      <formula>AND(E2&gt;0, E2&lt;0.2)</formula>
    </cfRule>
  </conditionalFormatting>
  <conditionalFormatting sqref="E2:E9">
    <cfRule type="expression" dxfId="12" priority="9">
      <formula>AND(E2&gt;=0.2, E2&lt;0.5)</formula>
    </cfRule>
  </conditionalFormatting>
  <conditionalFormatting sqref="E2:E9">
    <cfRule type="expression" dxfId="13" priority="10">
      <formula>AND(E2&gt;=0.5, E2&lt;0.7)</formula>
    </cfRule>
  </conditionalFormatting>
  <conditionalFormatting sqref="E2:E9">
    <cfRule type="expression" dxfId="14" priority="11">
      <formula>AND(E2&gt;=0.7, E2&lt;0.9)</formula>
    </cfRule>
  </conditionalFormatting>
  <conditionalFormatting sqref="E2:E9">
    <cfRule type="expression" dxfId="15" priority="12">
      <formula>AND(E2&gt;=0.9, E2&lt;=1)</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2026-02-13T13:12:44Z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0x0101009EACDADA40D3964885E366E984CA2376</vt:lpwstr>
  </property>
  <property fmtid="{D5CDD505-2E9C-101B-9397-08002B2CF9AE}" pid="3" name="MediaServiceImageTags">
    <vt:lpwstr/>
  </property>
</Properties>
</file>